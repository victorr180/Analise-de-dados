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victo\Downloads\"/>
    </mc:Choice>
  </mc:AlternateContent>
  <xr:revisionPtr revIDLastSave="0" documentId="13_ncr:1_{911A7CBD-44FF-4197-94CA-9C8780152BE3}" xr6:coauthVersionLast="47" xr6:coauthVersionMax="47" xr10:uidLastSave="{00000000-0000-0000-0000-000000000000}"/>
  <bookViews>
    <workbookView xWindow="-120" yWindow="-120" windowWidth="29040" windowHeight="15720" activeTab="2" xr2:uid="{71A2208F-BF27-4426-89DD-3162E0732754}"/>
  </bookViews>
  <sheets>
    <sheet name="Dados" sheetId="1" r:id="rId1"/>
    <sheet name="Analise" sheetId="3" r:id="rId2"/>
    <sheet name="Dashboard" sheetId="4" r:id="rId3"/>
  </sheets>
  <definedNames>
    <definedName name="SegmentaçãodeDados_PRAZO_Meses">#N/A</definedName>
    <definedName name="SegmentaçãodeDados_RISCO">#N/A</definedName>
    <definedName name="SegmentaçãodeDados_STATUS">#N/A</definedName>
    <definedName name="SegmentaçãodeDados_STATUS1">#N/A</definedName>
  </definedNames>
  <calcPr calcId="191029"/>
  <pivotCaches>
    <pivotCache cacheId="10" r:id="rId4"/>
  </pivotCaches>
  <fileRecoveryPr repairLoad="1"/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" i="1"/>
  <c r="G3" i="1"/>
  <c r="H3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" i="1"/>
  <c r="H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" i="1"/>
  <c r="E7" i="1"/>
  <c r="E2" i="1"/>
  <c r="E3" i="1"/>
  <c r="E4" i="1"/>
  <c r="E5" i="1"/>
  <c r="E6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D226" i="1"/>
  <c r="D225" i="1"/>
  <c r="D3" i="1"/>
  <c r="D2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" i="1"/>
</calcChain>
</file>

<file path=xl/sharedStrings.xml><?xml version="1.0" encoding="utf-8"?>
<sst xmlns="http://schemas.openxmlformats.org/spreadsheetml/2006/main" count="50" uniqueCount="35">
  <si>
    <t>ID CLIENTE</t>
  </si>
  <si>
    <t>DATA CONTRATO</t>
  </si>
  <si>
    <t>TIPO DE CRÉDITO</t>
  </si>
  <si>
    <t>VALOR EMPRESTADO</t>
  </si>
  <si>
    <t>TAXA</t>
  </si>
  <si>
    <t>SCORE</t>
  </si>
  <si>
    <t>RISCO</t>
  </si>
  <si>
    <t>STATUS</t>
  </si>
  <si>
    <t>REGIÃO</t>
  </si>
  <si>
    <t>GERENTE</t>
  </si>
  <si>
    <t>PRAZO(Meses)</t>
  </si>
  <si>
    <t>Rótulos de Linha</t>
  </si>
  <si>
    <t>Alto</t>
  </si>
  <si>
    <t>Baixo</t>
  </si>
  <si>
    <t>Medio</t>
  </si>
  <si>
    <t>Total Geral</t>
  </si>
  <si>
    <t>Soma de VALOR EMPRESTADO</t>
  </si>
  <si>
    <t>Cartao de Credito</t>
  </si>
  <si>
    <t>Credito Consignado</t>
  </si>
  <si>
    <t>Credito Imobiliario</t>
  </si>
  <si>
    <t>Credito Pessoal</t>
  </si>
  <si>
    <t>Financiamento Veiculo</t>
  </si>
  <si>
    <t>Contagem de ID CLIENTE</t>
  </si>
  <si>
    <t>Ana Silva</t>
  </si>
  <si>
    <t>Carlos Mendes</t>
  </si>
  <si>
    <t>Joao Souza</t>
  </si>
  <si>
    <t>Maria Lima</t>
  </si>
  <si>
    <t>Pedro Costa</t>
  </si>
  <si>
    <t>Centro-Oeste</t>
  </si>
  <si>
    <t>Nordeste</t>
  </si>
  <si>
    <t>Norte</t>
  </si>
  <si>
    <t>Sudeste</t>
  </si>
  <si>
    <t>Sul</t>
  </si>
  <si>
    <t>Atraso 60d</t>
  </si>
  <si>
    <t>Em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</si>
</sst>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&quot;R$&quot;\ #,##0.00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43" fontId="0" fillId="0" borderId="0" xfId="1" applyFont="1"/>
    <xf numFmtId="0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Vírgula" xfId="1" builtinId="3"/>
  </cellStyles>
  <dxfs count="33"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fill>
        <patternFill>
          <bgColor rgb="FF7030A0"/>
        </patternFill>
      </fill>
    </dxf>
    <dxf>
      <font>
        <color rgb="FF7030A0"/>
      </font>
    </dxf>
    <dxf>
      <font>
        <color rgb="FF7030A0"/>
      </font>
    </dxf>
    <dxf>
      <font>
        <color rgb="FF7030A0"/>
      </font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</dxfs>
  <tableStyles count="4" defaultTableStyle="TableStyleMedium2" defaultPivotStyle="PivotStyleLight16">
    <tableStyle name="Estilo de Segmentação de Dados 1" pivot="0" table="0" count="3" xr9:uid="{8F835EAE-20FD-412C-9D69-81E777B05726}">
      <tableStyleElement type="wholeTable" dxfId="28"/>
    </tableStyle>
    <tableStyle name="Estilo de Segmentação de Dados 2" pivot="0" table="0" count="3" xr9:uid="{7B3DAA83-B5CB-472C-A1EE-0C9E8BD62CD6}">
      <tableStyleElement type="wholeTable" dxfId="27"/>
    </tableStyle>
    <tableStyle name="Estilo de Segmentação de Dados 3" pivot="0" table="0" count="3" xr9:uid="{C38D3E69-5935-40DE-8C31-3E4CB1C883C5}">
      <tableStyleElement type="wholeTable" dxfId="26"/>
    </tableStyle>
    <tableStyle name="Estilo de Segmentação de Dados 4" pivot="0" table="0" count="3" xr9:uid="{81692DA5-1690-4D7C-B342-D6C9D35D2BD5}">
      <tableStyleElement type="wholeTable" dxfId="25"/>
    </tableStyle>
  </tableStyles>
  <colors>
    <mruColors>
      <color rgb="FF1E197F"/>
      <color rgb="FF712768"/>
      <color rgb="FFFFFFFF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rgb="FF7030A0"/>
            </patternFill>
          </fill>
        </dxf>
        <dxf>
          <fill>
            <patternFill>
              <bgColor rgb="FFFF0000"/>
            </patternFill>
          </fill>
        </dxf>
        <dxf>
          <font>
            <color rgb="FF7030A0"/>
          </font>
        </dxf>
        <dxf>
          <font>
            <color rgb="FF7030A0"/>
          </font>
        </dxf>
        <dxf>
          <font>
            <color rgb="FF7030A0"/>
          </font>
        </dxf>
        <dxf>
          <font>
            <strike/>
            <color rgb="FF1E197F"/>
          </font>
        </dxf>
        <dxf>
          <font>
            <color rgb="FF7030A0"/>
          </font>
        </dxf>
        <dxf>
          <font>
            <color rgb="FF7030A0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7"/>
            <x14:slicerStyleElement type="hoveredSelectedItemWithData" dxfId="6"/>
          </x14:slicerStyleElements>
        </x14:slicerStyle>
        <x14:slicerStyle name="Estilo de Segmentação de Dados 2">
          <x14:slicerStyleElements>
            <x14:slicerStyleElement type="selectedItemWithData" dxfId="5"/>
            <x14:slicerStyleElement type="hoveredSelectedItemWithData" dxfId="4"/>
          </x14:slicerStyleElements>
        </x14:slicerStyle>
        <x14:slicerStyle name="Estilo de Segmentação de Dados 3">
          <x14:slicerStyleElements>
            <x14:slicerStyleElement type="selectedItemWithData" dxfId="3"/>
            <x14:slicerStyleElement type="hoveredSelectedItemWithData" dxfId="2"/>
          </x14:slicerStyleElements>
        </x14:slicerStyle>
        <x14:slicerStyle name="Estilo de Segmentação de Dados 4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17015278153521"/>
          <c:y val="0.20699798929649052"/>
          <c:w val="0.76512729658792655"/>
          <c:h val="0.69604950422863798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rgbClr val="FF0000"/>
                </a:gs>
                <a:gs pos="100000">
                  <a:srgbClr val="712768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Analise!$A$4:$A$6</c15:sqref>
                  </c15:fullRef>
                </c:ext>
              </c:extLst>
              <c:f>Analise!$A$4:$A$6</c:f>
              <c:strCache>
                <c:ptCount val="3"/>
                <c:pt idx="0">
                  <c:v>Alto</c:v>
                </c:pt>
                <c:pt idx="1">
                  <c:v>Baixo</c:v>
                </c:pt>
                <c:pt idx="2">
                  <c:v>Medio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Analise!$B$4:$B$7</c15:sqref>
                  </c15:fullRef>
                </c:ext>
              </c:extLst>
              <c:f>Analise!$B$4:$B$6</c:f>
              <c:numCache>
                <c:formatCode>"R$"\ #,##0.00</c:formatCode>
                <c:ptCount val="3"/>
                <c:pt idx="0">
                  <c:v>9260000</c:v>
                </c:pt>
                <c:pt idx="1">
                  <c:v>7095000</c:v>
                </c:pt>
                <c:pt idx="2">
                  <c:v>5151000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8-421A-9C1F-95E44D4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2903168"/>
        <c:axId val="192905088"/>
      </c:barChart>
      <c:catAx>
        <c:axId val="19290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2905088"/>
        <c:crosses val="autoZero"/>
        <c:auto val="1"/>
        <c:lblAlgn val="ctr"/>
        <c:lblOffset val="100"/>
        <c:noMultiLvlLbl val="0"/>
      </c:catAx>
      <c:valAx>
        <c:axId val="19290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2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290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latin typeface="Bahnschrift" panose="020B0502040204020203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02537182852143"/>
          <c:y val="3.0011998500187476E-2"/>
          <c:w val="0.8269746281714786"/>
          <c:h val="0.84204493340733311"/>
        </c:manualLayout>
      </c:layout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Analise!$C$27</c:f>
              <c:numCache>
                <c:formatCode>General</c:formatCode>
                <c:ptCount val="1"/>
                <c:pt idx="0">
                  <c:v>37</c:v>
                </c:pt>
              </c:numCache>
            </c:numRef>
          </c:cat>
          <c:val>
            <c:numRef>
              <c:f>Analise!$C$26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8-4ED7-9415-A7305F7CA6F7}"/>
            </c:ext>
          </c:extLst>
        </c:ser>
        <c:ser>
          <c:idx val="1"/>
          <c:order val="1"/>
          <c:spPr>
            <a:gradFill>
              <a:gsLst>
                <a:gs pos="0">
                  <a:srgbClr val="C00000"/>
                </a:gs>
                <a:gs pos="100000">
                  <a:srgbClr val="7030A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val>
            <c:numRef>
              <c:f>Analise!$D$27</c:f>
              <c:numCache>
                <c:formatCode>"R$"\ #,##0.00</c:formatCode>
                <c:ptCount val="1"/>
                <c:pt idx="0">
                  <c:v>2499000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8-4ED7-9415-A7305F7CA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2895968"/>
        <c:axId val="192899808"/>
      </c:barChart>
      <c:catAx>
        <c:axId val="19289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2899808"/>
        <c:crosses val="autoZero"/>
        <c:auto val="1"/>
        <c:lblAlgn val="ctr"/>
        <c:lblOffset val="100"/>
        <c:noMultiLvlLbl val="0"/>
      </c:catAx>
      <c:valAx>
        <c:axId val="19289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9289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230533683289587E-2"/>
          <c:y val="7.407407407407407E-2"/>
          <c:w val="0.89030796150481195"/>
          <c:h val="0.58773111694371538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100000">
                  <a:srgbClr val="7030A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Analise!$G$4:$G$9</c:f>
              <c:strCache>
                <c:ptCount val="6"/>
                <c:pt idx="0">
                  <c:v>Cartao de Credito</c:v>
                </c:pt>
                <c:pt idx="1">
                  <c:v>Credito Consignado</c:v>
                </c:pt>
                <c:pt idx="2">
                  <c:v>Credito Imobiliario</c:v>
                </c:pt>
                <c:pt idx="3">
                  <c:v>Credito Pessoal</c:v>
                </c:pt>
                <c:pt idx="4">
                  <c:v>Financiamento Veiculo</c:v>
                </c:pt>
                <c:pt idx="5">
                  <c:v>Total Geral</c:v>
                </c:pt>
              </c:strCache>
            </c:strRef>
          </c:cat>
          <c:val>
            <c:numRef>
              <c:f>Analise!$H$4:$H$9</c:f>
              <c:numCache>
                <c:formatCode>General</c:formatCode>
                <c:ptCount val="6"/>
                <c:pt idx="0">
                  <c:v>17</c:v>
                </c:pt>
                <c:pt idx="1">
                  <c:v>39</c:v>
                </c:pt>
                <c:pt idx="2">
                  <c:v>20</c:v>
                </c:pt>
                <c:pt idx="3">
                  <c:v>31</c:v>
                </c:pt>
                <c:pt idx="4">
                  <c:v>26</c:v>
                </c:pt>
                <c:pt idx="5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EE-4F43-9CC4-528C5D9CB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10603504"/>
        <c:axId val="1210615984"/>
      </c:barChart>
      <c:catAx>
        <c:axId val="12106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210615984"/>
        <c:crosses val="autoZero"/>
        <c:auto val="1"/>
        <c:lblAlgn val="ctr"/>
        <c:lblOffset val="100"/>
        <c:noMultiLvlLbl val="0"/>
      </c:catAx>
      <c:valAx>
        <c:axId val="121061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21060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41447944006999"/>
          <c:y val="0.14770778652668418"/>
          <c:w val="0.75091885389326329"/>
          <c:h val="0.670401356080489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100000">
                  <a:srgbClr val="7030A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Analise!$A$15:$A$20</c:f>
              <c:strCache>
                <c:ptCount val="6"/>
                <c:pt idx="0">
                  <c:v>Ana Silva</c:v>
                </c:pt>
                <c:pt idx="1">
                  <c:v>Carlos Mendes</c:v>
                </c:pt>
                <c:pt idx="2">
                  <c:v>Joao Souza</c:v>
                </c:pt>
                <c:pt idx="3">
                  <c:v>Maria Lima</c:v>
                </c:pt>
                <c:pt idx="4">
                  <c:v>Pedro Costa</c:v>
                </c:pt>
                <c:pt idx="5">
                  <c:v>Total Geral</c:v>
                </c:pt>
              </c:strCache>
            </c:strRef>
          </c:cat>
          <c:val>
            <c:numRef>
              <c:f>Analise!$B$15:$B$20</c:f>
              <c:numCache>
                <c:formatCode>"R$"\ #,##0.00</c:formatCode>
                <c:ptCount val="6"/>
                <c:pt idx="0">
                  <c:v>1789000</c:v>
                </c:pt>
                <c:pt idx="1">
                  <c:v>870000</c:v>
                </c:pt>
                <c:pt idx="2">
                  <c:v>1192000</c:v>
                </c:pt>
                <c:pt idx="3">
                  <c:v>1526000</c:v>
                </c:pt>
                <c:pt idx="4">
                  <c:v>1718000</c:v>
                </c:pt>
                <c:pt idx="5">
                  <c:v>7095000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2-4CDA-86B0-26BB46FD9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98099088"/>
        <c:axId val="1198093808"/>
      </c:barChart>
      <c:catAx>
        <c:axId val="119809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198093808"/>
        <c:crosses val="autoZero"/>
        <c:auto val="1"/>
        <c:lblAlgn val="ctr"/>
        <c:lblOffset val="100"/>
        <c:noMultiLvlLbl val="0"/>
      </c:catAx>
      <c:valAx>
        <c:axId val="119809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19809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latin typeface="Bahnschrift" panose="020B0502040204020203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47360492981857"/>
          <c:y val="0.12171308911333732"/>
          <c:w val="0.75091885389326329"/>
          <c:h val="0.5765135608048993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C00000"/>
                </a:gs>
                <a:gs pos="100000">
                  <a:srgbClr val="7030A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Analise!$G$15:$G$20</c:f>
              <c:strCache>
                <c:ptCount val="6"/>
                <c:pt idx="0">
                  <c:v>Centro-Oeste</c:v>
                </c:pt>
                <c:pt idx="1">
                  <c:v>Nordeste</c:v>
                </c:pt>
                <c:pt idx="2">
                  <c:v>Norte</c:v>
                </c:pt>
                <c:pt idx="3">
                  <c:v>Sudeste</c:v>
                </c:pt>
                <c:pt idx="4">
                  <c:v>Sul</c:v>
                </c:pt>
                <c:pt idx="5">
                  <c:v>Total Geral</c:v>
                </c:pt>
              </c:strCache>
            </c:strRef>
          </c:cat>
          <c:val>
            <c:numRef>
              <c:f>Analise!$H$15:$H$20</c:f>
              <c:numCache>
                <c:formatCode>"R$"\ #,##0.00</c:formatCode>
                <c:ptCount val="6"/>
                <c:pt idx="0">
                  <c:v>314000</c:v>
                </c:pt>
                <c:pt idx="1">
                  <c:v>857000</c:v>
                </c:pt>
                <c:pt idx="2">
                  <c:v>210000</c:v>
                </c:pt>
                <c:pt idx="3">
                  <c:v>420000</c:v>
                </c:pt>
                <c:pt idx="4">
                  <c:v>505000</c:v>
                </c:pt>
                <c:pt idx="5">
                  <c:v>2306000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D9-4174-9175-D8CB7B939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8087088"/>
        <c:axId val="1198089008"/>
      </c:barChart>
      <c:catAx>
        <c:axId val="119808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198089008"/>
        <c:crosses val="autoZero"/>
        <c:auto val="1"/>
        <c:lblAlgn val="ctr"/>
        <c:lblOffset val="100"/>
        <c:noMultiLvlLbl val="0"/>
      </c:catAx>
      <c:valAx>
        <c:axId val="11980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pt-BR"/>
          </a:p>
        </c:txPr>
        <c:crossAx val="119808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0</xdr:colOff>
      <xdr:row>45</xdr:row>
      <xdr:rowOff>190499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65F0D51-702F-88F0-4D3C-AFAF4D2A5FFA}"/>
            </a:ext>
          </a:extLst>
        </xdr:cNvPr>
        <xdr:cNvSpPr/>
      </xdr:nvSpPr>
      <xdr:spPr>
        <a:xfrm>
          <a:off x="0" y="0"/>
          <a:ext cx="18897600" cy="8762999"/>
        </a:xfrm>
        <a:prstGeom prst="rect">
          <a:avLst/>
        </a:prstGeom>
        <a:gradFill flip="none" rotWithShape="1">
          <a:gsLst>
            <a:gs pos="0">
              <a:schemeClr val="accent5"/>
            </a:gs>
            <a:gs pos="92900">
              <a:schemeClr val="accent2">
                <a:lumMod val="60000"/>
                <a:lumOff val="40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54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2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8</xdr:col>
      <xdr:colOff>0</xdr:colOff>
      <xdr:row>3</xdr:row>
      <xdr:rowOff>9525</xdr:rowOff>
    </xdr:from>
    <xdr:to>
      <xdr:col>19</xdr:col>
      <xdr:colOff>0</xdr:colOff>
      <xdr:row>23</xdr:row>
      <xdr:rowOff>9525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EB776142-E583-4CAD-AE77-005C67696AB4}"/>
            </a:ext>
          </a:extLst>
        </xdr:cNvPr>
        <xdr:cNvSpPr/>
      </xdr:nvSpPr>
      <xdr:spPr>
        <a:xfrm>
          <a:off x="4876800" y="581025"/>
          <a:ext cx="6705600" cy="3810000"/>
        </a:xfrm>
        <a:prstGeom prst="roundRect">
          <a:avLst>
            <a:gd name="adj" fmla="val 11135"/>
          </a:avLst>
        </a:prstGeom>
        <a:solidFill>
          <a:srgbClr val="FFFF00">
            <a:alpha val="1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219075</xdr:colOff>
      <xdr:row>17</xdr:row>
      <xdr:rowOff>161925</xdr:rowOff>
    </xdr:from>
    <xdr:to>
      <xdr:col>7</xdr:col>
      <xdr:colOff>0</xdr:colOff>
      <xdr:row>32</xdr:row>
      <xdr:rowOff>161925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8277FA70-A38E-47B5-AB05-75BF1F375EF5}"/>
            </a:ext>
          </a:extLst>
        </xdr:cNvPr>
        <xdr:cNvSpPr/>
      </xdr:nvSpPr>
      <xdr:spPr>
        <a:xfrm>
          <a:off x="219075" y="3400425"/>
          <a:ext cx="4048125" cy="2857500"/>
        </a:xfrm>
        <a:prstGeom prst="roundRect">
          <a:avLst>
            <a:gd name="adj" fmla="val 11135"/>
          </a:avLst>
        </a:prstGeom>
        <a:solidFill>
          <a:srgbClr val="FFFF00">
            <a:alpha val="1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0</xdr:colOff>
      <xdr:row>24</xdr:row>
      <xdr:rowOff>0</xdr:rowOff>
    </xdr:from>
    <xdr:to>
      <xdr:col>17</xdr:col>
      <xdr:colOff>0</xdr:colOff>
      <xdr:row>42</xdr:row>
      <xdr:rowOff>66676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2C2EBDA-B0DA-4E4C-8715-F4E101ED2681}"/>
            </a:ext>
          </a:extLst>
        </xdr:cNvPr>
        <xdr:cNvSpPr/>
      </xdr:nvSpPr>
      <xdr:spPr>
        <a:xfrm>
          <a:off x="4876800" y="4572000"/>
          <a:ext cx="5486400" cy="3495676"/>
        </a:xfrm>
        <a:prstGeom prst="roundRect">
          <a:avLst>
            <a:gd name="adj" fmla="val 11135"/>
          </a:avLst>
        </a:prstGeom>
        <a:solidFill>
          <a:srgbClr val="FFFF00">
            <a:alpha val="1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152400</xdr:colOff>
      <xdr:row>3</xdr:row>
      <xdr:rowOff>38100</xdr:rowOff>
    </xdr:from>
    <xdr:to>
      <xdr:col>29</xdr:col>
      <xdr:colOff>152400</xdr:colOff>
      <xdr:row>23</xdr:row>
      <xdr:rowOff>38100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ED458EDC-797B-44B9-A850-F4754928BC93}"/>
            </a:ext>
          </a:extLst>
        </xdr:cNvPr>
        <xdr:cNvSpPr/>
      </xdr:nvSpPr>
      <xdr:spPr>
        <a:xfrm>
          <a:off x="11734800" y="609600"/>
          <a:ext cx="6096000" cy="3810000"/>
        </a:xfrm>
        <a:prstGeom prst="roundRect">
          <a:avLst>
            <a:gd name="adj" fmla="val 11135"/>
          </a:avLst>
        </a:prstGeom>
        <a:solidFill>
          <a:srgbClr val="FFFF00">
            <a:alpha val="1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0</xdr:colOff>
      <xdr:row>24</xdr:row>
      <xdr:rowOff>0</xdr:rowOff>
    </xdr:from>
    <xdr:to>
      <xdr:col>29</xdr:col>
      <xdr:colOff>0</xdr:colOff>
      <xdr:row>42</xdr:row>
      <xdr:rowOff>66676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C8D059B-2B40-4F94-B627-2142BDB76FC9}"/>
            </a:ext>
          </a:extLst>
        </xdr:cNvPr>
        <xdr:cNvSpPr/>
      </xdr:nvSpPr>
      <xdr:spPr>
        <a:xfrm>
          <a:off x="10972800" y="4572000"/>
          <a:ext cx="6705600" cy="3495676"/>
        </a:xfrm>
        <a:prstGeom prst="roundRect">
          <a:avLst>
            <a:gd name="adj" fmla="val 11135"/>
          </a:avLst>
        </a:prstGeom>
        <a:solidFill>
          <a:srgbClr val="FFFF00">
            <a:alpha val="1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38101</xdr:colOff>
      <xdr:row>3</xdr:row>
      <xdr:rowOff>123825</xdr:rowOff>
    </xdr:from>
    <xdr:to>
      <xdr:col>11</xdr:col>
      <xdr:colOff>1</xdr:colOff>
      <xdr:row>6</xdr:row>
      <xdr:rowOff>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3A7832E-72E5-74AC-D126-4E3ED6F1EECD}"/>
            </a:ext>
          </a:extLst>
        </xdr:cNvPr>
        <xdr:cNvSpPr txBox="1"/>
      </xdr:nvSpPr>
      <xdr:spPr>
        <a:xfrm>
          <a:off x="4914901" y="695325"/>
          <a:ext cx="17907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Composição</a:t>
          </a:r>
          <a:r>
            <a:rPr lang="pt-BR" sz="1100" baseline="0">
              <a:latin typeface="Bahnschrift" panose="020B0502040204020203" pitchFamily="34" charset="0"/>
            </a:rPr>
            <a:t> Por Linha de Crédito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19</xdr:col>
      <xdr:colOff>381000</xdr:colOff>
      <xdr:row>4</xdr:row>
      <xdr:rowOff>0</xdr:rowOff>
    </xdr:from>
    <xdr:to>
      <xdr:col>25</xdr:col>
      <xdr:colOff>0</xdr:colOff>
      <xdr:row>5</xdr:row>
      <xdr:rowOff>152400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1A504DE-39BD-7809-56A3-51F69F75BF1B}"/>
            </a:ext>
          </a:extLst>
        </xdr:cNvPr>
        <xdr:cNvSpPr txBox="1"/>
      </xdr:nvSpPr>
      <xdr:spPr>
        <a:xfrm>
          <a:off x="11963400" y="762000"/>
          <a:ext cx="32766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Concentração Regional</a:t>
          </a:r>
        </a:p>
      </xdr:txBody>
    </xdr:sp>
    <xdr:clientData/>
  </xdr:twoCellAnchor>
  <xdr:twoCellAnchor>
    <xdr:from>
      <xdr:col>0</xdr:col>
      <xdr:colOff>342899</xdr:colOff>
      <xdr:row>18</xdr:row>
      <xdr:rowOff>95249</xdr:rowOff>
    </xdr:from>
    <xdr:to>
      <xdr:col>5</xdr:col>
      <xdr:colOff>428624</xdr:colOff>
      <xdr:row>21</xdr:row>
      <xdr:rowOff>85724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D73BA0A8-9FAE-28BA-B2A9-1CD7259729E6}"/>
            </a:ext>
          </a:extLst>
        </xdr:cNvPr>
        <xdr:cNvSpPr txBox="1"/>
      </xdr:nvSpPr>
      <xdr:spPr>
        <a:xfrm>
          <a:off x="342899" y="3524249"/>
          <a:ext cx="3133725" cy="561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Exposição por Risco</a:t>
          </a:r>
        </a:p>
      </xdr:txBody>
    </xdr:sp>
    <xdr:clientData/>
  </xdr:twoCellAnchor>
  <xdr:twoCellAnchor>
    <xdr:from>
      <xdr:col>8</xdr:col>
      <xdr:colOff>257175</xdr:colOff>
      <xdr:row>24</xdr:row>
      <xdr:rowOff>47625</xdr:rowOff>
    </xdr:from>
    <xdr:to>
      <xdr:col>13</xdr:col>
      <xdr:colOff>0</xdr:colOff>
      <xdr:row>26</xdr:row>
      <xdr:rowOff>9525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11282919-7CE3-9A54-1D2D-A67A42C1AA1F}"/>
            </a:ext>
          </a:extLst>
        </xdr:cNvPr>
        <xdr:cNvSpPr txBox="1"/>
      </xdr:nvSpPr>
      <xdr:spPr>
        <a:xfrm>
          <a:off x="5133975" y="4619625"/>
          <a:ext cx="279082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Performance Por Gerente</a:t>
          </a:r>
        </a:p>
      </xdr:txBody>
    </xdr:sp>
    <xdr:clientData/>
  </xdr:twoCellAnchor>
  <xdr:twoCellAnchor>
    <xdr:from>
      <xdr:col>18</xdr:col>
      <xdr:colOff>180975</xdr:colOff>
      <xdr:row>25</xdr:row>
      <xdr:rowOff>0</xdr:rowOff>
    </xdr:from>
    <xdr:to>
      <xdr:col>21</xdr:col>
      <xdr:colOff>333375</xdr:colOff>
      <xdr:row>26</xdr:row>
      <xdr:rowOff>180975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A73D24EE-5316-F083-F126-904D1F8B1221}"/>
            </a:ext>
          </a:extLst>
        </xdr:cNvPr>
        <xdr:cNvSpPr txBox="1"/>
      </xdr:nvSpPr>
      <xdr:spPr>
        <a:xfrm>
          <a:off x="11153775" y="4762500"/>
          <a:ext cx="198120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Saúde da Carteira</a:t>
          </a:r>
        </a:p>
      </xdr:txBody>
    </xdr:sp>
    <xdr:clientData/>
  </xdr:twoCellAnchor>
  <xdr:twoCellAnchor>
    <xdr:from>
      <xdr:col>0</xdr:col>
      <xdr:colOff>123825</xdr:colOff>
      <xdr:row>6</xdr:row>
      <xdr:rowOff>161925</xdr:rowOff>
    </xdr:from>
    <xdr:to>
      <xdr:col>3</xdr:col>
      <xdr:colOff>0</xdr:colOff>
      <xdr:row>9</xdr:row>
      <xdr:rowOff>57150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3EB3A98D-EF73-2C92-54AF-A1875DFFC8E3}"/>
            </a:ext>
          </a:extLst>
        </xdr:cNvPr>
        <xdr:cNvSpPr txBox="1"/>
      </xdr:nvSpPr>
      <xdr:spPr>
        <a:xfrm>
          <a:off x="123825" y="1304925"/>
          <a:ext cx="170497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Valor Total </a:t>
          </a:r>
          <a:r>
            <a:rPr lang="pt-BR" sz="1100">
              <a:solidFill>
                <a:sysClr val="windowText" lastClr="000000"/>
              </a:solidFill>
              <a:latin typeface="Bahnschrift" panose="020B0502040204020203" pitchFamily="34" charset="0"/>
            </a:rPr>
            <a:t>Emprestado</a:t>
          </a:r>
        </a:p>
      </xdr:txBody>
    </xdr:sp>
    <xdr:clientData/>
  </xdr:twoCellAnchor>
  <xdr:twoCellAnchor>
    <xdr:from>
      <xdr:col>7</xdr:col>
      <xdr:colOff>38100</xdr:colOff>
      <xdr:row>0</xdr:row>
      <xdr:rowOff>66675</xdr:rowOff>
    </xdr:from>
    <xdr:to>
      <xdr:col>11</xdr:col>
      <xdr:colOff>47625</xdr:colOff>
      <xdr:row>2</xdr:row>
      <xdr:rowOff>57150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8D665741-B6D8-2A9D-62CE-A119F54F1A05}"/>
            </a:ext>
          </a:extLst>
        </xdr:cNvPr>
        <xdr:cNvSpPr txBox="1"/>
      </xdr:nvSpPr>
      <xdr:spPr>
        <a:xfrm>
          <a:off x="4305300" y="66675"/>
          <a:ext cx="2447925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4</xdr:col>
      <xdr:colOff>38100</xdr:colOff>
      <xdr:row>6</xdr:row>
      <xdr:rowOff>157162</xdr:rowOff>
    </xdr:from>
    <xdr:to>
      <xdr:col>8</xdr:col>
      <xdr:colOff>0</xdr:colOff>
      <xdr:row>8</xdr:row>
      <xdr:rowOff>28575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394F092B-3A1D-4069-D7EB-1AD61F7EE3DD}"/>
            </a:ext>
          </a:extLst>
        </xdr:cNvPr>
        <xdr:cNvSpPr txBox="1"/>
      </xdr:nvSpPr>
      <xdr:spPr>
        <a:xfrm>
          <a:off x="2476500" y="1300162"/>
          <a:ext cx="2400300" cy="2524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Bahnschrift" panose="020B0502040204020203" pitchFamily="34" charset="0"/>
            </a:rPr>
            <a:t>Valor</a:t>
          </a:r>
          <a:r>
            <a:rPr lang="pt-BR" sz="1100" baseline="0">
              <a:latin typeface="Bahnschrift" panose="020B0502040204020203" pitchFamily="34" charset="0"/>
            </a:rPr>
            <a:t> Em Alto Risco</a:t>
          </a:r>
          <a:endParaRPr lang="pt-BR" sz="11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13</xdr:col>
      <xdr:colOff>0</xdr:colOff>
      <xdr:row>24</xdr:row>
      <xdr:rowOff>19050</xdr:rowOff>
    </xdr:from>
    <xdr:to>
      <xdr:col>17</xdr:col>
      <xdr:colOff>0</xdr:colOff>
      <xdr:row>28</xdr:row>
      <xdr:rowOff>95250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FB07FC1B-5501-46F4-87CA-683EF93A29B0}"/>
            </a:ext>
          </a:extLst>
        </xdr:cNvPr>
        <xdr:cNvSpPr/>
      </xdr:nvSpPr>
      <xdr:spPr>
        <a:xfrm>
          <a:off x="7924800" y="4591050"/>
          <a:ext cx="2438400" cy="83820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chemeClr val="accent5">
              <a:alpha val="19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0</xdr:colOff>
      <xdr:row>3</xdr:row>
      <xdr:rowOff>47624</xdr:rowOff>
    </xdr:from>
    <xdr:to>
      <xdr:col>19</xdr:col>
      <xdr:colOff>0</xdr:colOff>
      <xdr:row>6</xdr:row>
      <xdr:rowOff>0</xdr:rowOff>
    </xdr:to>
    <xdr:sp macro="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617034CA-DB9F-4D9D-9997-C92004055794}"/>
            </a:ext>
          </a:extLst>
        </xdr:cNvPr>
        <xdr:cNvSpPr/>
      </xdr:nvSpPr>
      <xdr:spPr>
        <a:xfrm>
          <a:off x="6705600" y="619124"/>
          <a:ext cx="4876800" cy="523876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chemeClr val="accent5">
              <a:alpha val="19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0</xdr:colOff>
      <xdr:row>3</xdr:row>
      <xdr:rowOff>57150</xdr:rowOff>
    </xdr:from>
    <xdr:to>
      <xdr:col>29</xdr:col>
      <xdr:colOff>0</xdr:colOff>
      <xdr:row>7</xdr:row>
      <xdr:rowOff>0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2410FC95-90BE-4E2A-BBA3-A8C8539BED6E}"/>
            </a:ext>
          </a:extLst>
        </xdr:cNvPr>
        <xdr:cNvSpPr/>
      </xdr:nvSpPr>
      <xdr:spPr>
        <a:xfrm>
          <a:off x="14020800" y="628650"/>
          <a:ext cx="3657600" cy="70485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chemeClr val="accent5">
              <a:alpha val="19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95250</xdr:colOff>
      <xdr:row>8</xdr:row>
      <xdr:rowOff>38100</xdr:rowOff>
    </xdr:from>
    <xdr:to>
      <xdr:col>4</xdr:col>
      <xdr:colOff>133349</xdr:colOff>
      <xdr:row>10</xdr:row>
      <xdr:rowOff>85725</xdr:rowOff>
    </xdr:to>
    <xdr:sp macro="" textlink="Analise!B7">
      <xdr:nvSpPr>
        <xdr:cNvPr id="36" name="CaixaDeTexto 35">
          <a:extLst>
            <a:ext uri="{FF2B5EF4-FFF2-40B4-BE49-F238E27FC236}">
              <a16:creationId xmlns:a16="http://schemas.microsoft.com/office/drawing/2014/main" id="{551A28D9-38E5-6A7E-8C85-06C23DAFDFF0}"/>
            </a:ext>
          </a:extLst>
        </xdr:cNvPr>
        <xdr:cNvSpPr txBox="1"/>
      </xdr:nvSpPr>
      <xdr:spPr>
        <a:xfrm>
          <a:off x="95250" y="1562100"/>
          <a:ext cx="2476499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98B318-F0C1-4D8C-9EEE-7473771991DB}" type="TxLink">
            <a:rPr lang="en-US" sz="1800" b="0" i="0" u="none" strike="noStrike">
              <a:solidFill>
                <a:srgbClr val="000000"/>
              </a:solidFill>
              <a:latin typeface="Bahnschrift" panose="020B0502040204020203" pitchFamily="34" charset="0"/>
            </a:rPr>
            <a:t>R$ 21.506.000,00</a:t>
          </a:fld>
          <a:endParaRPr lang="pt-BR" sz="18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Analise!B4">
      <xdr:nvSpPr>
        <xdr:cNvPr id="39" name="CaixaDeTexto 38">
          <a:extLst>
            <a:ext uri="{FF2B5EF4-FFF2-40B4-BE49-F238E27FC236}">
              <a16:creationId xmlns:a16="http://schemas.microsoft.com/office/drawing/2014/main" id="{BA184D7A-41E7-B131-54A5-3DB4D9493178}"/>
            </a:ext>
          </a:extLst>
        </xdr:cNvPr>
        <xdr:cNvSpPr txBox="1"/>
      </xdr:nvSpPr>
      <xdr:spPr>
        <a:xfrm>
          <a:off x="2438400" y="1524000"/>
          <a:ext cx="24384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4F794F-4AE1-4702-BE22-3C76D80C47D7}" type="TxLink">
            <a:rPr lang="en-US" sz="1800" b="0" i="0" u="none" strike="noStrike">
              <a:solidFill>
                <a:srgbClr val="000000"/>
              </a:solidFill>
              <a:latin typeface="Bahnschrift" panose="020B0502040204020203" pitchFamily="34" charset="0"/>
            </a:rPr>
            <a:t>R$ 9.260.000,00</a:t>
          </a:fld>
          <a:endParaRPr lang="pt-BR" sz="1800"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285750</xdr:colOff>
      <xdr:row>21</xdr:row>
      <xdr:rowOff>47625</xdr:rowOff>
    </xdr:from>
    <xdr:to>
      <xdr:col>7</xdr:col>
      <xdr:colOff>0</xdr:colOff>
      <xdr:row>32</xdr:row>
      <xdr:rowOff>85725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B3C0EED3-AE2B-4568-97A4-446F4D001A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24</xdr:row>
      <xdr:rowOff>38100</xdr:rowOff>
    </xdr:from>
    <xdr:to>
      <xdr:col>29</xdr:col>
      <xdr:colOff>0</xdr:colOff>
      <xdr:row>28</xdr:row>
      <xdr:rowOff>0</xdr:rowOff>
    </xdr:to>
    <xdr:sp macro="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A4FB87E6-6F21-43E0-8272-950CE8BA413C}"/>
            </a:ext>
          </a:extLst>
        </xdr:cNvPr>
        <xdr:cNvSpPr/>
      </xdr:nvSpPr>
      <xdr:spPr>
        <a:xfrm>
          <a:off x="12801600" y="4610100"/>
          <a:ext cx="4876800" cy="723900"/>
        </a:xfrm>
        <a:prstGeom prst="roundRect">
          <a:avLst>
            <a:gd name="adj" fmla="val 50000"/>
          </a:avLst>
        </a:prstGeom>
        <a:solidFill>
          <a:srgbClr val="7030A0"/>
        </a:solidFill>
        <a:ln>
          <a:solidFill>
            <a:schemeClr val="accent5">
              <a:alpha val="19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76200</xdr:colOff>
      <xdr:row>28</xdr:row>
      <xdr:rowOff>0</xdr:rowOff>
    </xdr:from>
    <xdr:to>
      <xdr:col>28</xdr:col>
      <xdr:colOff>161925</xdr:colOff>
      <xdr:row>42</xdr:row>
      <xdr:rowOff>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FD3A56D6-DBCB-41CB-8B5E-A05FAA8154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</xdr:row>
      <xdr:rowOff>0</xdr:rowOff>
    </xdr:from>
    <xdr:to>
      <xdr:col>19</xdr:col>
      <xdr:colOff>0</xdr:colOff>
      <xdr:row>23</xdr:row>
      <xdr:rowOff>0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368E8169-3FEF-4889-AAAA-1D2B93962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29</xdr:row>
      <xdr:rowOff>0</xdr:rowOff>
    </xdr:from>
    <xdr:to>
      <xdr:col>17</xdr:col>
      <xdr:colOff>0</xdr:colOff>
      <xdr:row>42</xdr:row>
      <xdr:rowOff>114300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C07AE6F3-D755-49BB-B5BB-895A483230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447676</xdr:colOff>
      <xdr:row>8</xdr:row>
      <xdr:rowOff>0</xdr:rowOff>
    </xdr:from>
    <xdr:to>
      <xdr:col>28</xdr:col>
      <xdr:colOff>447675</xdr:colOff>
      <xdr:row>23</xdr:row>
      <xdr:rowOff>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B12598-E895-4D23-BC1A-B2A6C5367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13</xdr:col>
      <xdr:colOff>219075</xdr:colOff>
      <xdr:row>24</xdr:row>
      <xdr:rowOff>95250</xdr:rowOff>
    </xdr:from>
    <xdr:to>
      <xdr:col>16</xdr:col>
      <xdr:colOff>219075</xdr:colOff>
      <xdr:row>28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7" name="RISCO">
              <a:extLst>
                <a:ext uri="{FF2B5EF4-FFF2-40B4-BE49-F238E27FC236}">
                  <a16:creationId xmlns:a16="http://schemas.microsoft.com/office/drawing/2014/main" id="{DDF412F4-E80F-4C5D-B260-03D5AA5994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SC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3875" y="4667250"/>
              <a:ext cx="1828800" cy="666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152400</xdr:colOff>
      <xdr:row>3</xdr:row>
      <xdr:rowOff>57150</xdr:rowOff>
    </xdr:from>
    <xdr:to>
      <xdr:col>18</xdr:col>
      <xdr:colOff>342900</xdr:colOff>
      <xdr:row>6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9" name="STATUS">
              <a:extLst>
                <a:ext uri="{FF2B5EF4-FFF2-40B4-BE49-F238E27FC236}">
                  <a16:creationId xmlns:a16="http://schemas.microsoft.com/office/drawing/2014/main" id="{CA12DF02-BA88-48A1-9072-657C7E450F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00" y="628650"/>
              <a:ext cx="4457700" cy="514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323850</xdr:colOff>
      <xdr:row>24</xdr:row>
      <xdr:rowOff>161924</xdr:rowOff>
    </xdr:from>
    <xdr:to>
      <xdr:col>28</xdr:col>
      <xdr:colOff>323850</xdr:colOff>
      <xdr:row>27</xdr:row>
      <xdr:rowOff>190499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0" name="STATUS 1">
              <a:extLst>
                <a:ext uri="{FF2B5EF4-FFF2-40B4-BE49-F238E27FC236}">
                  <a16:creationId xmlns:a16="http://schemas.microsoft.com/office/drawing/2014/main" id="{E01ED0BD-F854-4D60-A4D9-37E63E1F5B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25450" y="4733924"/>
              <a:ext cx="4267200" cy="600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314325</xdr:colOff>
      <xdr:row>4</xdr:row>
      <xdr:rowOff>0</xdr:rowOff>
    </xdr:from>
    <xdr:to>
      <xdr:col>28</xdr:col>
      <xdr:colOff>381000</xdr:colOff>
      <xdr:row>7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1" name="PRAZO(Meses)">
              <a:extLst>
                <a:ext uri="{FF2B5EF4-FFF2-40B4-BE49-F238E27FC236}">
                  <a16:creationId xmlns:a16="http://schemas.microsoft.com/office/drawing/2014/main" id="{DFAF8E8E-0DBD-4C46-90C9-459C93F7F5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AZO(Mese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35125" y="762000"/>
              <a:ext cx="3114675" cy="57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Santos" refreshedDate="46255.95666851852" createdVersion="8" refreshedVersion="8" minRefreshableVersion="3" recordCount="250" xr:uid="{0A561721-DA22-4A06-B720-774F36D2FD56}">
  <cacheSource type="worksheet">
    <worksheetSource ref="A1:K251" sheet="Dados"/>
  </cacheSource>
  <cacheFields count="14">
    <cacheField name="ID CLIENTE" numFmtId="0">
      <sharedItems/>
    </cacheField>
    <cacheField name="DATA CONTRATO" numFmtId="14">
      <sharedItems containsSemiMixedTypes="0" containsNonDate="0" containsDate="1" containsString="0" minDate="2025-04-10T00:00:00" maxDate="2026-08-20T00:00:00" count="317">
        <d v="2025-05-30T00:00:00"/>
        <d v="2025-05-24T00:00:00"/>
        <d v="2026-06-01T00:00:00"/>
        <d v="2026-02-09T00:00:00"/>
        <d v="2025-11-09T00:00:00"/>
        <d v="2025-06-14T00:00:00"/>
        <d v="2025-09-01T00:00:00"/>
        <d v="2025-07-07T00:00:00"/>
        <d v="2026-03-29T00:00:00"/>
        <d v="2026-04-22T00:00:00"/>
        <d v="2026-08-07T00:00:00"/>
        <d v="2025-11-11T00:00:00"/>
        <d v="2026-05-17T00:00:00"/>
        <d v="2025-08-02T00:00:00"/>
        <d v="2025-07-05T00:00:00"/>
        <d v="2025-10-12T00:00:00"/>
        <d v="2026-05-19T00:00:00"/>
        <d v="2025-12-25T00:00:00"/>
        <d v="2025-06-22T00:00:00"/>
        <d v="2025-10-08T00:00:00"/>
        <d v="2025-05-06T00:00:00"/>
        <d v="2026-02-03T00:00:00"/>
        <d v="2025-10-16T00:00:00"/>
        <d v="2026-01-17T00:00:00"/>
        <d v="2026-07-02T00:00:00"/>
        <d v="2026-05-20T00:00:00"/>
        <d v="2026-01-22T00:00:00"/>
        <d v="2025-12-14T00:00:00"/>
        <d v="2026-07-05T00:00:00"/>
        <d v="2025-11-20T00:00:00"/>
        <d v="2025-07-14T00:00:00"/>
        <d v="2025-10-21T00:00:00"/>
        <d v="2026-03-12T00:00:00"/>
        <d v="2025-08-12T00:00:00"/>
        <d v="2025-07-04T00:00:00"/>
        <d v="2025-07-29T00:00:00"/>
        <d v="2026-06-03T00:00:00"/>
        <d v="2025-07-31T00:00:00"/>
        <d v="2025-08-27T00:00:00"/>
        <d v="2025-09-14T00:00:00"/>
        <d v="2026-05-16T00:00:00"/>
        <d v="2025-06-30T00:00:00"/>
        <d v="2026-04-12T00:00:00"/>
        <d v="2026-08-02T00:00:00"/>
        <d v="2026-02-04T00:00:00"/>
        <d v="2025-08-19T00:00:00"/>
        <d v="2025-10-31T00:00:00"/>
        <d v="2025-11-03T00:00:00"/>
        <d v="2026-02-13T00:00:00"/>
        <d v="2025-05-07T00:00:00"/>
        <d v="2025-08-09T00:00:00"/>
        <d v="2026-08-11T00:00:00"/>
        <d v="2025-08-18T00:00:00"/>
        <d v="2026-03-07T00:00:00"/>
        <d v="2025-05-21T00:00:00"/>
        <d v="2025-06-13T00:00:00"/>
        <d v="2025-07-25T00:00:00"/>
        <d v="2026-06-28T00:00:00"/>
        <d v="2025-12-27T00:00:00"/>
        <d v="2025-11-25T00:00:00"/>
        <d v="2026-05-05T00:00:00"/>
        <d v="2025-10-22T00:00:00"/>
        <d v="2026-05-21T00:00:00"/>
        <d v="2025-10-03T00:00:00"/>
        <d v="2026-03-05T00:00:00"/>
        <d v="2025-09-29T00:00:00"/>
        <d v="2025-10-10T00:00:00"/>
        <d v="2025-11-13T00:00:00"/>
        <d v="2025-05-16T00:00:00"/>
        <d v="2025-08-10T00:00:00"/>
        <d v="2025-11-19T00:00:00"/>
        <d v="2025-06-03T00:00:00"/>
        <d v="2025-09-28T00:00:00"/>
        <d v="2025-04-20T00:00:00"/>
        <d v="2026-06-06T00:00:00"/>
        <d v="2026-04-30T00:00:00"/>
        <d v="2025-05-09T00:00:00"/>
        <d v="2025-05-17T00:00:00"/>
        <d v="2025-07-19T00:00:00"/>
        <d v="2025-04-26T00:00:00"/>
        <d v="2025-06-20T00:00:00"/>
        <d v="2025-10-04T00:00:00"/>
        <d v="2025-10-17T00:00:00"/>
        <d v="2026-06-27T00:00:00"/>
        <d v="2026-04-19T00:00:00"/>
        <d v="2026-05-31T00:00:00"/>
        <d v="2025-05-14T00:00:00"/>
        <d v="2026-06-23T00:00:00"/>
        <d v="2026-06-12T00:00:00"/>
        <d v="2026-08-05T00:00:00"/>
        <d v="2025-09-02T00:00:00"/>
        <d v="2025-09-09T00:00:00"/>
        <d v="2025-06-11T00:00:00"/>
        <d v="2026-02-14T00:00:00"/>
        <d v="2026-01-14T00:00:00"/>
        <d v="2025-11-04T00:00:00"/>
        <d v="2026-07-04T00:00:00"/>
        <d v="2025-12-07T00:00:00"/>
        <d v="2025-07-15T00:00:00"/>
        <d v="2025-08-07T00:00:00"/>
        <d v="2026-06-26T00:00:00"/>
        <d v="2026-02-22T00:00:00"/>
        <d v="2026-08-09T00:00:00"/>
        <d v="2026-04-29T00:00:00"/>
        <d v="2025-12-03T00:00:00"/>
        <d v="2026-05-03T00:00:00"/>
        <d v="2025-11-14T00:00:00"/>
        <d v="2025-10-15T00:00:00"/>
        <d v="2026-03-22T00:00:00"/>
        <d v="2026-03-16T00:00:00"/>
        <d v="2025-12-20T00:00:00"/>
        <d v="2026-04-04T00:00:00"/>
        <d v="2025-09-15T00:00:00"/>
        <d v="2026-01-20T00:00:00"/>
        <d v="2025-08-16T00:00:00"/>
        <d v="2026-01-11T00:00:00"/>
        <d v="2026-07-22T00:00:00"/>
        <d v="2025-06-19T00:00:00"/>
        <d v="2026-04-08T00:00:00"/>
        <d v="2025-05-26T00:00:00"/>
        <d v="2026-03-06T00:00:00"/>
        <d v="2026-05-30T00:00:00"/>
        <d v="2025-05-29T00:00:00"/>
        <d v="2026-06-20T00:00:00"/>
        <d v="2025-11-07T00:00:00"/>
        <d v="2026-04-10T00:00:00"/>
        <d v="2026-01-28T00:00:00"/>
        <d v="2026-01-05T00:00:00"/>
        <d v="2026-02-07T00:00:00"/>
        <d v="2026-07-14T00:00:00"/>
        <d v="2026-05-01T00:00:00"/>
        <d v="2025-07-27T00:00:00"/>
        <d v="2026-03-01T00:00:00"/>
        <d v="2025-06-29T00:00:00"/>
        <d v="2026-05-08T00:00:00"/>
        <d v="2026-05-25T00:00:00"/>
        <d v="2026-01-03T00:00:00"/>
        <d v="2025-04-15T00:00:00"/>
        <d v="2026-01-10T00:00:00"/>
        <d v="2025-07-09T00:00:00"/>
        <d v="2026-01-31T00:00:00"/>
        <d v="2025-08-29T00:00:00"/>
        <d v="2025-04-10T00:00:00"/>
        <d v="2025-08-13T00:00:00"/>
        <d v="2026-04-24T00:00:00"/>
        <d v="2026-07-16T00:00:00"/>
        <d v="2025-09-12T00:00:00"/>
        <d v="2025-07-02T00:00:00"/>
        <d v="2025-10-01T00:00:00"/>
        <d v="2025-07-22T00:00:00"/>
        <d v="2026-04-27T00:00:00"/>
        <d v="2026-06-25T00:00:00"/>
        <d v="2026-06-07T00:00:00"/>
        <d v="2025-11-02T00:00:00"/>
        <d v="2025-04-12T00:00:00"/>
        <d v="2025-09-30T00:00:00"/>
        <d v="2025-10-11T00:00:00"/>
        <d v="2025-12-15T00:00:00"/>
        <d v="2025-10-07T00:00:00"/>
        <d v="2025-07-20T00:00:00"/>
        <d v="2026-04-07T00:00:00"/>
        <d v="2026-07-17T00:00:00"/>
        <d v="2026-01-16T00:00:00"/>
        <d v="2026-07-21T00:00:00"/>
        <d v="2025-07-16T00:00:00"/>
        <d v="2025-04-30T00:00:00"/>
        <d v="2025-07-18T00:00:00"/>
        <d v="2026-07-03T00:00:00"/>
        <d v="2025-07-28T00:00:00"/>
        <d v="2026-03-14T00:00:00"/>
        <d v="2025-06-02T00:00:00"/>
        <d v="2025-04-23T00:00:00"/>
        <d v="2025-08-26T00:00:00"/>
        <d v="2025-04-13T00:00:00"/>
        <d v="2025-04-27T00:00:00"/>
        <d v="2026-05-28T00:00:00"/>
        <d v="2025-11-24T00:00:00"/>
        <d v="2025-10-28T00:00:00"/>
        <d v="2025-10-29T00:00:00"/>
        <d v="2025-12-22T00:00:00"/>
        <d v="2025-11-29T00:00:00"/>
        <d v="2026-07-09T00:00:00"/>
        <d v="2026-01-02T00:00:00"/>
        <d v="2026-08-12T00:00:00"/>
        <d v="2026-02-20T00:00:00"/>
        <d v="2026-04-26T00:00:00"/>
        <d v="2025-09-08T00:00:00"/>
        <d v="2025-10-09T00:00:00"/>
        <d v="2026-05-29T00:00:00"/>
        <d v="2025-11-17T00:00:00"/>
        <d v="2026-08-18T00:00:00"/>
        <d v="2025-12-29T00:00:00"/>
        <d v="2025-10-20T00:00:00"/>
        <d v="2026-01-09T00:00:00"/>
        <d v="2025-11-08T00:00:00"/>
        <d v="2025-12-16T00:00:00"/>
        <d v="2026-04-18T00:00:00"/>
        <d v="2025-09-04T00:00:00"/>
        <d v="2026-03-26T00:00:00" u="1"/>
        <d v="2026-03-09T00:00:00" u="1"/>
        <d v="2026-05-09T00:00:00" u="1"/>
        <d v="2026-04-11T00:00:00" u="1"/>
        <d v="2025-06-16T00:00:00" u="1"/>
        <d v="2025-09-26T00:00:00" u="1"/>
        <d v="2026-03-25T00:00:00" u="1"/>
        <d v="2025-08-22T00:00:00" u="1"/>
        <d v="2026-08-15T00:00:00" u="1"/>
        <d v="2026-03-30T00:00:00" u="1"/>
        <d v="2025-08-21T00:00:00" u="1"/>
        <d v="2026-03-08T00:00:00" u="1"/>
        <d v="2025-12-17T00:00:00" u="1"/>
        <d v="2025-04-29T00:00:00" u="1"/>
        <d v="2026-06-10T00:00:00" u="1"/>
        <d v="2025-10-23T00:00:00" u="1"/>
        <d v="2026-02-28T00:00:00" u="1"/>
        <d v="2026-05-12T00:00:00" u="1"/>
        <d v="2025-05-12T00:00:00" u="1"/>
        <d v="2025-10-14T00:00:00" u="1"/>
        <d v="2025-06-12T00:00:00" u="1"/>
        <d v="2025-09-06T00:00:00" u="1"/>
        <d v="2026-06-29T00:00:00" u="1"/>
        <d v="2025-06-10T00:00:00" u="1"/>
        <d v="2025-06-09T00:00:00" u="1"/>
        <d v="2025-06-04T00:00:00" u="1"/>
        <d v="2025-08-15T00:00:00" u="1"/>
        <d v="2025-05-10T00:00:00" u="1"/>
        <d v="2025-06-25T00:00:00" u="1"/>
        <d v="2025-12-08T00:00:00" u="1"/>
        <d v="2025-11-23T00:00:00" u="1"/>
        <d v="2025-05-19T00:00:00" u="1"/>
        <d v="2026-07-13T00:00:00" u="1"/>
        <d v="2026-05-13T00:00:00" u="1"/>
        <d v="2026-05-23T00:00:00" u="1"/>
        <d v="2026-02-15T00:00:00" u="1"/>
        <d v="2026-04-01T00:00:00" u="1"/>
        <d v="2025-05-20T00:00:00" u="1"/>
        <d v="2026-01-06T00:00:00" u="1"/>
        <d v="2026-04-09T00:00:00" u="1"/>
        <d v="2025-08-06T00:00:00" u="1"/>
        <d v="2026-01-30T00:00:00" u="1"/>
        <d v="2025-11-30T00:00:00" u="1"/>
        <d v="2025-12-23T00:00:00" u="1"/>
        <d v="2026-05-11T00:00:00" u="1"/>
        <d v="2025-12-10T00:00:00" u="1"/>
        <d v="2026-02-05T00:00:00" u="1"/>
        <d v="2025-06-27T00:00:00" u="1"/>
        <d v="2026-01-25T00:00:00" u="1"/>
        <d v="2026-02-19T00:00:00" u="1"/>
        <d v="2025-12-02T00:00:00" u="1"/>
        <d v="2026-02-11T00:00:00" u="1"/>
        <d v="2025-12-12T00:00:00" u="1"/>
        <d v="2026-04-28T00:00:00" u="1"/>
        <d v="2026-06-14T00:00:00" u="1"/>
        <d v="2026-08-08T00:00:00" u="1"/>
        <d v="2025-08-14T00:00:00" u="1"/>
        <d v="2026-01-18T00:00:00" u="1"/>
        <d v="2025-06-06T00:00:00" u="1"/>
        <d v="2025-07-06T00:00:00" u="1"/>
        <d v="2026-06-21T00:00:00" u="1"/>
        <d v="2025-05-01T00:00:00" u="1"/>
        <d v="2025-10-18T00:00:00" u="1"/>
        <d v="2025-07-11T00:00:00" u="1"/>
        <d v="2026-02-06T00:00:00" u="1"/>
        <d v="2025-06-08T00:00:00" u="1"/>
        <d v="2026-06-04T00:00:00" u="1"/>
        <d v="2026-03-21T00:00:00" u="1"/>
        <d v="2026-05-07T00:00:00" u="1"/>
        <d v="2025-09-11T00:00:00" u="1"/>
        <d v="2025-10-26T00:00:00" u="1"/>
        <d v="2026-07-26T00:00:00" u="1"/>
        <d v="2025-12-01T00:00:00" u="1"/>
        <d v="2026-04-16T00:00:00" u="1"/>
        <d v="2026-03-24T00:00:00" u="1"/>
        <d v="2026-01-07T00:00:00" u="1"/>
        <d v="2026-08-10T00:00:00" u="1"/>
        <d v="2025-05-22T00:00:00" u="1"/>
        <d v="2025-08-01T00:00:00" u="1"/>
        <d v="2025-04-22T00:00:00" u="1"/>
        <d v="2025-04-19T00:00:00" u="1"/>
        <d v="2025-11-01T00:00:00" u="1"/>
        <d v="2025-11-15T00:00:00" u="1"/>
        <d v="2026-04-05T00:00:00" u="1"/>
        <d v="2026-08-14T00:00:00" u="1"/>
        <d v="2026-04-21T00:00:00" u="1"/>
        <d v="2025-09-25T00:00:00" u="1"/>
        <d v="2025-10-05T00:00:00" u="1"/>
        <d v="2026-06-05T00:00:00" u="1"/>
        <d v="2026-08-19T00:00:00" u="1"/>
        <d v="2025-08-04T00:00:00" u="1"/>
        <d v="2026-03-04T00:00:00" u="1"/>
        <d v="2025-06-01T00:00:00" u="1"/>
        <d v="2025-11-06T00:00:00" u="1"/>
        <d v="2025-08-25T00:00:00" u="1"/>
        <d v="2026-04-17T00:00:00" u="1"/>
        <d v="2026-03-03T00:00:00" u="1"/>
        <d v="2025-12-30T00:00:00" u="1"/>
        <d v="2025-05-13T00:00:00" u="1"/>
        <d v="2026-06-22T00:00:00" u="1"/>
        <d v="2026-07-29T00:00:00" u="1"/>
        <d v="2026-02-21T00:00:00" u="1"/>
        <d v="2026-03-27T00:00:00" u="1"/>
        <d v="2026-07-01T00:00:00" u="1"/>
        <d v="2025-07-13T00:00:00" u="1"/>
        <d v="2026-03-15T00:00:00" u="1"/>
        <d v="2026-05-14T00:00:00" u="1"/>
        <d v="2025-11-26T00:00:00" u="1"/>
        <d v="2026-07-20T00:00:00" u="1"/>
        <d v="2025-04-21T00:00:00" u="1"/>
        <d v="2026-01-23T00:00:00" u="1"/>
        <d v="2026-07-23T00:00:00" u="1"/>
        <d v="2026-01-12T00:00:00" u="1"/>
        <d v="2026-01-27T00:00:00" u="1"/>
        <d v="2025-06-26T00:00:00" u="1"/>
        <d v="2026-01-26T00:00:00" u="1"/>
        <d v="2025-07-03T00:00:00" u="1"/>
        <d v="2026-01-15T00:00:00" u="1"/>
        <d v="2026-05-10T00:00:00" u="1"/>
      </sharedItems>
      <fieldGroup par="13"/>
    </cacheField>
    <cacheField name="TIPO DE CRÉDITO" numFmtId="0">
      <sharedItems count="5">
        <s v="Financiamento Veiculo"/>
        <s v="Credito Consignado"/>
        <s v="Cartao de Credito"/>
        <s v="Credito Pessoal"/>
        <s v="Credito Imobiliario"/>
      </sharedItems>
    </cacheField>
    <cacheField name="VALOR EMPRESTADO" numFmtId="164">
      <sharedItems containsSemiMixedTypes="0" containsString="0" containsNumber="1" containsInteger="1" minValue="5000" maxValue="300000"/>
    </cacheField>
    <cacheField name="TAXA" numFmtId="43">
      <sharedItems containsSemiMixedTypes="0" containsString="0" containsNumber="1" minValue="0.6" maxValue="4.5"/>
    </cacheField>
    <cacheField name="PRAZO(Meses)" numFmtId="0">
      <sharedItems containsSemiMixedTypes="0" containsString="0" containsNumber="1" containsInteger="1" minValue="12" maxValue="360" count="7">
        <n v="36"/>
        <n v="12"/>
        <n v="60"/>
        <n v="360"/>
        <n v="48"/>
        <n v="120"/>
        <n v="24"/>
      </sharedItems>
    </cacheField>
    <cacheField name="SCORE" numFmtId="0">
      <sharedItems containsSemiMixedTypes="0" containsString="0" containsNumber="1" containsInteger="1" minValue="301" maxValue="949"/>
    </cacheField>
    <cacheField name="RISCO" numFmtId="0">
      <sharedItems count="3">
        <s v="Medio"/>
        <s v="Alto"/>
        <s v="Baixo"/>
      </sharedItems>
    </cacheField>
    <cacheField name="STATUS" numFmtId="0">
      <sharedItems count="4">
        <s v="Atraso 30d"/>
        <s v="Atraso 60d"/>
        <s v="Em Dia"/>
        <s v="Inadimplente"/>
      </sharedItems>
    </cacheField>
    <cacheField name="REGIÃO" numFmtId="0">
      <sharedItems count="5">
        <s v="Centro-Oeste"/>
        <s v="Nordeste"/>
        <s v="Sudeste"/>
        <s v="Norte"/>
        <s v="Sul"/>
      </sharedItems>
    </cacheField>
    <cacheField name="GERENTE" numFmtId="0">
      <sharedItems count="5">
        <s v="Pedro Costa"/>
        <s v="Ana Silva"/>
        <s v="Joao Souza"/>
        <s v="Carlos Mendes"/>
        <s v="Maria Lima"/>
      </sharedItems>
    </cacheField>
    <cacheField name="Meses (DATA CONTRATO)" numFmtId="0" databaseField="0">
      <fieldGroup base="1">
        <rangePr groupBy="months" startDate="2025-04-10T00:00:00" endDate="2026-08-19T00:00:00"/>
        <groupItems count="14">
          <s v="&lt;10/04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9/08/2026"/>
        </groupItems>
      </fieldGroup>
    </cacheField>
    <cacheField name="Trimestres (DATA CONTRATO)" numFmtId="0" databaseField="0">
      <fieldGroup base="1">
        <rangePr groupBy="quarters" startDate="2025-04-10T00:00:00" endDate="2026-08-19T00:00:00"/>
        <groupItems count="6">
          <s v="&lt;10/04/2025"/>
          <s v="Trim1"/>
          <s v="Trim2"/>
          <s v="Trim3"/>
          <s v="Trim4"/>
          <s v="&gt;19/08/2026"/>
        </groupItems>
      </fieldGroup>
    </cacheField>
    <cacheField name="Anos (DATA CONTRATO)" numFmtId="0" databaseField="0">
      <fieldGroup base="1">
        <rangePr groupBy="years" startDate="2025-04-10T00:00:00" endDate="2026-08-19T00:00:00"/>
        <groupItems count="4">
          <s v="&lt;10/04/2025"/>
          <s v="2025"/>
          <s v="2026"/>
          <s v="&gt;19/08/2026"/>
        </groupItems>
      </fieldGroup>
    </cacheField>
  </cacheFields>
  <extLst>
    <ext xmlns:x14="http://schemas.microsoft.com/office/spreadsheetml/2009/9/main" uri="{725AE2AE-9491-48be-B2B4-4EB974FC3084}">
      <x14:pivotCacheDefinition pivotCacheId="716866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CLI-1000"/>
    <x v="0"/>
    <x v="0"/>
    <n v="25000"/>
    <n v="3.67"/>
    <x v="0"/>
    <n v="625"/>
    <x v="0"/>
    <x v="0"/>
    <x v="0"/>
    <x v="0"/>
  </r>
  <r>
    <s v="CLI-1001"/>
    <x v="1"/>
    <x v="0"/>
    <n v="25000"/>
    <n v="0.79"/>
    <x v="1"/>
    <n v="573"/>
    <x v="1"/>
    <x v="1"/>
    <x v="0"/>
    <x v="1"/>
  </r>
  <r>
    <s v="CLI-1002"/>
    <x v="2"/>
    <x v="1"/>
    <n v="150000"/>
    <n v="1.51"/>
    <x v="2"/>
    <n v="920"/>
    <x v="2"/>
    <x v="2"/>
    <x v="1"/>
    <x v="1"/>
  </r>
  <r>
    <s v="CLI-1003"/>
    <x v="3"/>
    <x v="0"/>
    <n v="12000"/>
    <n v="3.44"/>
    <x v="3"/>
    <n v="465"/>
    <x v="1"/>
    <x v="1"/>
    <x v="2"/>
    <x v="2"/>
  </r>
  <r>
    <s v="CLI-1004"/>
    <x v="4"/>
    <x v="2"/>
    <n v="80000"/>
    <n v="3.2"/>
    <x v="4"/>
    <n v="696"/>
    <x v="0"/>
    <x v="2"/>
    <x v="3"/>
    <x v="0"/>
  </r>
  <r>
    <s v="CLI-1005"/>
    <x v="5"/>
    <x v="0"/>
    <n v="45000"/>
    <n v="3.15"/>
    <x v="4"/>
    <n v="931"/>
    <x v="2"/>
    <x v="1"/>
    <x v="1"/>
    <x v="2"/>
  </r>
  <r>
    <s v="CLI-1006"/>
    <x v="6"/>
    <x v="3"/>
    <n v="25000"/>
    <n v="4.32"/>
    <x v="5"/>
    <n v="738"/>
    <x v="0"/>
    <x v="3"/>
    <x v="1"/>
    <x v="3"/>
  </r>
  <r>
    <s v="CLI-1007"/>
    <x v="7"/>
    <x v="2"/>
    <n v="80000"/>
    <n v="3.15"/>
    <x v="5"/>
    <n v="539"/>
    <x v="1"/>
    <x v="2"/>
    <x v="2"/>
    <x v="1"/>
  </r>
  <r>
    <s v="CLI-1008"/>
    <x v="8"/>
    <x v="2"/>
    <n v="80000"/>
    <n v="2.7"/>
    <x v="5"/>
    <n v="932"/>
    <x v="2"/>
    <x v="2"/>
    <x v="3"/>
    <x v="2"/>
  </r>
  <r>
    <s v="CLI-1009"/>
    <x v="9"/>
    <x v="4"/>
    <n v="5000"/>
    <n v="0.63"/>
    <x v="6"/>
    <n v="706"/>
    <x v="0"/>
    <x v="2"/>
    <x v="0"/>
    <x v="0"/>
  </r>
  <r>
    <s v="CLI-1010"/>
    <x v="10"/>
    <x v="2"/>
    <n v="150000"/>
    <n v="4.05"/>
    <x v="4"/>
    <n v="493"/>
    <x v="1"/>
    <x v="3"/>
    <x v="3"/>
    <x v="4"/>
  </r>
  <r>
    <s v="CLI-1011"/>
    <x v="11"/>
    <x v="3"/>
    <n v="150000"/>
    <n v="1.48"/>
    <x v="5"/>
    <n v="423"/>
    <x v="1"/>
    <x v="1"/>
    <x v="2"/>
    <x v="3"/>
  </r>
  <r>
    <s v="CLI-1012"/>
    <x v="12"/>
    <x v="4"/>
    <n v="25000"/>
    <n v="2.3199999999999998"/>
    <x v="2"/>
    <n v="580"/>
    <x v="1"/>
    <x v="0"/>
    <x v="3"/>
    <x v="0"/>
  </r>
  <r>
    <s v="CLI-1013"/>
    <x v="13"/>
    <x v="0"/>
    <n v="80000"/>
    <n v="3.27"/>
    <x v="3"/>
    <n v="318"/>
    <x v="1"/>
    <x v="0"/>
    <x v="0"/>
    <x v="0"/>
  </r>
  <r>
    <s v="CLI-1014"/>
    <x v="14"/>
    <x v="1"/>
    <n v="150000"/>
    <n v="1.85"/>
    <x v="2"/>
    <n v="949"/>
    <x v="2"/>
    <x v="2"/>
    <x v="0"/>
    <x v="1"/>
  </r>
  <r>
    <s v="CLI-1015"/>
    <x v="15"/>
    <x v="3"/>
    <n v="5000"/>
    <n v="1.89"/>
    <x v="6"/>
    <n v="422"/>
    <x v="1"/>
    <x v="3"/>
    <x v="4"/>
    <x v="3"/>
  </r>
  <r>
    <s v="CLI-1016"/>
    <x v="16"/>
    <x v="4"/>
    <n v="45000"/>
    <n v="3.63"/>
    <x v="2"/>
    <n v="330"/>
    <x v="1"/>
    <x v="2"/>
    <x v="4"/>
    <x v="1"/>
  </r>
  <r>
    <s v="CLI-1017"/>
    <x v="17"/>
    <x v="3"/>
    <n v="45000"/>
    <n v="2.0499999999999998"/>
    <x v="5"/>
    <n v="795"/>
    <x v="2"/>
    <x v="3"/>
    <x v="0"/>
    <x v="1"/>
  </r>
  <r>
    <s v="CLI-1018"/>
    <x v="18"/>
    <x v="1"/>
    <n v="80000"/>
    <n v="3.13"/>
    <x v="4"/>
    <n v="819"/>
    <x v="2"/>
    <x v="2"/>
    <x v="1"/>
    <x v="1"/>
  </r>
  <r>
    <s v="CLI-1019"/>
    <x v="19"/>
    <x v="1"/>
    <n v="300000"/>
    <n v="1.28"/>
    <x v="1"/>
    <n v="557"/>
    <x v="1"/>
    <x v="0"/>
    <x v="2"/>
    <x v="2"/>
  </r>
  <r>
    <s v="CLI-1020"/>
    <x v="11"/>
    <x v="3"/>
    <n v="25000"/>
    <n v="0.75"/>
    <x v="4"/>
    <n v="639"/>
    <x v="0"/>
    <x v="2"/>
    <x v="4"/>
    <x v="0"/>
  </r>
  <r>
    <s v="CLI-1021"/>
    <x v="20"/>
    <x v="3"/>
    <n v="5000"/>
    <n v="1.99"/>
    <x v="4"/>
    <n v="687"/>
    <x v="0"/>
    <x v="2"/>
    <x v="3"/>
    <x v="2"/>
  </r>
  <r>
    <s v="CLI-1022"/>
    <x v="21"/>
    <x v="1"/>
    <n v="12000"/>
    <n v="0.82"/>
    <x v="1"/>
    <n v="679"/>
    <x v="0"/>
    <x v="2"/>
    <x v="4"/>
    <x v="0"/>
  </r>
  <r>
    <s v="CLI-1023"/>
    <x v="22"/>
    <x v="2"/>
    <n v="80000"/>
    <n v="2.35"/>
    <x v="2"/>
    <n v="318"/>
    <x v="1"/>
    <x v="2"/>
    <x v="0"/>
    <x v="3"/>
  </r>
  <r>
    <s v="CLI-1024"/>
    <x v="23"/>
    <x v="2"/>
    <n v="80000"/>
    <n v="2.95"/>
    <x v="0"/>
    <n v="508"/>
    <x v="1"/>
    <x v="2"/>
    <x v="0"/>
    <x v="1"/>
  </r>
  <r>
    <s v="CLI-1025"/>
    <x v="24"/>
    <x v="2"/>
    <n v="150000"/>
    <n v="4.2"/>
    <x v="3"/>
    <n v="440"/>
    <x v="1"/>
    <x v="2"/>
    <x v="4"/>
    <x v="2"/>
  </r>
  <r>
    <s v="CLI-1026"/>
    <x v="25"/>
    <x v="1"/>
    <n v="150000"/>
    <n v="0.62"/>
    <x v="1"/>
    <n v="882"/>
    <x v="2"/>
    <x v="2"/>
    <x v="2"/>
    <x v="0"/>
  </r>
  <r>
    <s v="CLI-1027"/>
    <x v="26"/>
    <x v="1"/>
    <n v="12000"/>
    <n v="4.03"/>
    <x v="5"/>
    <n v="851"/>
    <x v="2"/>
    <x v="2"/>
    <x v="0"/>
    <x v="0"/>
  </r>
  <r>
    <s v="CLI-1028"/>
    <x v="27"/>
    <x v="1"/>
    <n v="80000"/>
    <n v="0.8"/>
    <x v="6"/>
    <n v="865"/>
    <x v="2"/>
    <x v="3"/>
    <x v="4"/>
    <x v="1"/>
  </r>
  <r>
    <s v="CLI-1029"/>
    <x v="0"/>
    <x v="0"/>
    <n v="5000"/>
    <n v="3.32"/>
    <x v="2"/>
    <n v="776"/>
    <x v="2"/>
    <x v="3"/>
    <x v="2"/>
    <x v="1"/>
  </r>
  <r>
    <s v="CLI-1030"/>
    <x v="28"/>
    <x v="3"/>
    <n v="300000"/>
    <n v="4.03"/>
    <x v="5"/>
    <n v="466"/>
    <x v="1"/>
    <x v="2"/>
    <x v="4"/>
    <x v="2"/>
  </r>
  <r>
    <s v="CLI-1031"/>
    <x v="29"/>
    <x v="4"/>
    <n v="80000"/>
    <n v="2.44"/>
    <x v="0"/>
    <n v="528"/>
    <x v="1"/>
    <x v="3"/>
    <x v="1"/>
    <x v="0"/>
  </r>
  <r>
    <s v="CLI-1032"/>
    <x v="30"/>
    <x v="1"/>
    <n v="12000"/>
    <n v="4.4400000000000004"/>
    <x v="5"/>
    <n v="410"/>
    <x v="1"/>
    <x v="3"/>
    <x v="3"/>
    <x v="1"/>
  </r>
  <r>
    <s v="CLI-1033"/>
    <x v="31"/>
    <x v="1"/>
    <n v="300000"/>
    <n v="1.5"/>
    <x v="5"/>
    <n v="711"/>
    <x v="0"/>
    <x v="2"/>
    <x v="2"/>
    <x v="0"/>
  </r>
  <r>
    <s v="CLI-1034"/>
    <x v="32"/>
    <x v="1"/>
    <n v="12000"/>
    <n v="4.3899999999999997"/>
    <x v="3"/>
    <n v="891"/>
    <x v="2"/>
    <x v="2"/>
    <x v="1"/>
    <x v="2"/>
  </r>
  <r>
    <s v="CLI-1035"/>
    <x v="33"/>
    <x v="2"/>
    <n v="300000"/>
    <n v="1.25"/>
    <x v="0"/>
    <n v="718"/>
    <x v="0"/>
    <x v="0"/>
    <x v="0"/>
    <x v="4"/>
  </r>
  <r>
    <s v="CLI-1036"/>
    <x v="34"/>
    <x v="2"/>
    <n v="150000"/>
    <n v="3.71"/>
    <x v="0"/>
    <n v="322"/>
    <x v="1"/>
    <x v="3"/>
    <x v="0"/>
    <x v="3"/>
  </r>
  <r>
    <s v="CLI-1037"/>
    <x v="35"/>
    <x v="3"/>
    <n v="80000"/>
    <n v="0.67"/>
    <x v="6"/>
    <n v="879"/>
    <x v="2"/>
    <x v="0"/>
    <x v="0"/>
    <x v="0"/>
  </r>
  <r>
    <s v="CLI-1038"/>
    <x v="36"/>
    <x v="1"/>
    <n v="150000"/>
    <n v="3.92"/>
    <x v="5"/>
    <n v="768"/>
    <x v="2"/>
    <x v="0"/>
    <x v="1"/>
    <x v="3"/>
  </r>
  <r>
    <s v="CLI-1039"/>
    <x v="37"/>
    <x v="0"/>
    <n v="45000"/>
    <n v="1.62"/>
    <x v="6"/>
    <n v="906"/>
    <x v="2"/>
    <x v="2"/>
    <x v="3"/>
    <x v="0"/>
  </r>
  <r>
    <s v="CLI-1040"/>
    <x v="38"/>
    <x v="4"/>
    <n v="45000"/>
    <n v="4.28"/>
    <x v="5"/>
    <n v="622"/>
    <x v="0"/>
    <x v="0"/>
    <x v="4"/>
    <x v="4"/>
  </r>
  <r>
    <s v="CLI-1041"/>
    <x v="39"/>
    <x v="3"/>
    <n v="5000"/>
    <n v="1.58"/>
    <x v="6"/>
    <n v="564"/>
    <x v="1"/>
    <x v="0"/>
    <x v="0"/>
    <x v="4"/>
  </r>
  <r>
    <s v="CLI-1042"/>
    <x v="40"/>
    <x v="2"/>
    <n v="25000"/>
    <n v="2.13"/>
    <x v="0"/>
    <n v="880"/>
    <x v="2"/>
    <x v="3"/>
    <x v="2"/>
    <x v="4"/>
  </r>
  <r>
    <s v="CLI-1043"/>
    <x v="41"/>
    <x v="3"/>
    <n v="150000"/>
    <n v="2.0699999999999998"/>
    <x v="0"/>
    <n v="822"/>
    <x v="2"/>
    <x v="2"/>
    <x v="4"/>
    <x v="4"/>
  </r>
  <r>
    <s v="CLI-1044"/>
    <x v="42"/>
    <x v="3"/>
    <n v="25000"/>
    <n v="2.04"/>
    <x v="3"/>
    <n v="404"/>
    <x v="1"/>
    <x v="1"/>
    <x v="1"/>
    <x v="1"/>
  </r>
  <r>
    <s v="CLI-1045"/>
    <x v="43"/>
    <x v="4"/>
    <n v="80000"/>
    <n v="1.02"/>
    <x v="3"/>
    <n v="754"/>
    <x v="2"/>
    <x v="2"/>
    <x v="2"/>
    <x v="0"/>
  </r>
  <r>
    <s v="CLI-1046"/>
    <x v="44"/>
    <x v="0"/>
    <n v="25000"/>
    <n v="3.51"/>
    <x v="5"/>
    <n v="310"/>
    <x v="1"/>
    <x v="2"/>
    <x v="4"/>
    <x v="4"/>
  </r>
  <r>
    <s v="CLI-1047"/>
    <x v="45"/>
    <x v="3"/>
    <n v="12000"/>
    <n v="3.71"/>
    <x v="1"/>
    <n v="688"/>
    <x v="0"/>
    <x v="1"/>
    <x v="3"/>
    <x v="0"/>
  </r>
  <r>
    <s v="CLI-1048"/>
    <x v="46"/>
    <x v="1"/>
    <n v="80000"/>
    <n v="2.96"/>
    <x v="2"/>
    <n v="381"/>
    <x v="1"/>
    <x v="2"/>
    <x v="4"/>
    <x v="2"/>
  </r>
  <r>
    <s v="CLI-1049"/>
    <x v="47"/>
    <x v="1"/>
    <n v="5000"/>
    <n v="1.1599999999999999"/>
    <x v="0"/>
    <n v="756"/>
    <x v="2"/>
    <x v="3"/>
    <x v="3"/>
    <x v="2"/>
  </r>
  <r>
    <s v="CLI-1050"/>
    <x v="48"/>
    <x v="0"/>
    <n v="150000"/>
    <n v="1.64"/>
    <x v="4"/>
    <n v="736"/>
    <x v="0"/>
    <x v="0"/>
    <x v="0"/>
    <x v="2"/>
  </r>
  <r>
    <s v="CLI-1051"/>
    <x v="29"/>
    <x v="3"/>
    <n v="45000"/>
    <n v="3.04"/>
    <x v="5"/>
    <n v="855"/>
    <x v="2"/>
    <x v="2"/>
    <x v="1"/>
    <x v="1"/>
  </r>
  <r>
    <s v="CLI-1052"/>
    <x v="49"/>
    <x v="1"/>
    <n v="5000"/>
    <n v="2.95"/>
    <x v="2"/>
    <n v="443"/>
    <x v="1"/>
    <x v="0"/>
    <x v="0"/>
    <x v="0"/>
  </r>
  <r>
    <s v="CLI-1053"/>
    <x v="50"/>
    <x v="4"/>
    <n v="5000"/>
    <n v="0.62"/>
    <x v="1"/>
    <n v="605"/>
    <x v="0"/>
    <x v="0"/>
    <x v="1"/>
    <x v="2"/>
  </r>
  <r>
    <s v="CLI-1054"/>
    <x v="48"/>
    <x v="3"/>
    <n v="45000"/>
    <n v="1.64"/>
    <x v="4"/>
    <n v="415"/>
    <x v="1"/>
    <x v="2"/>
    <x v="2"/>
    <x v="3"/>
  </r>
  <r>
    <s v="CLI-1055"/>
    <x v="51"/>
    <x v="2"/>
    <n v="12000"/>
    <n v="1.87"/>
    <x v="4"/>
    <n v="574"/>
    <x v="1"/>
    <x v="2"/>
    <x v="4"/>
    <x v="2"/>
  </r>
  <r>
    <s v="CLI-1056"/>
    <x v="52"/>
    <x v="0"/>
    <n v="5000"/>
    <n v="4.13"/>
    <x v="2"/>
    <n v="904"/>
    <x v="2"/>
    <x v="2"/>
    <x v="3"/>
    <x v="4"/>
  </r>
  <r>
    <s v="CLI-1057"/>
    <x v="53"/>
    <x v="4"/>
    <n v="300000"/>
    <n v="3.7"/>
    <x v="0"/>
    <n v="320"/>
    <x v="1"/>
    <x v="3"/>
    <x v="0"/>
    <x v="3"/>
  </r>
  <r>
    <s v="CLI-1058"/>
    <x v="38"/>
    <x v="0"/>
    <n v="5000"/>
    <n v="1.18"/>
    <x v="3"/>
    <n v="393"/>
    <x v="1"/>
    <x v="3"/>
    <x v="2"/>
    <x v="3"/>
  </r>
  <r>
    <s v="CLI-1059"/>
    <x v="54"/>
    <x v="0"/>
    <n v="5000"/>
    <n v="2.9"/>
    <x v="1"/>
    <n v="834"/>
    <x v="2"/>
    <x v="3"/>
    <x v="0"/>
    <x v="0"/>
  </r>
  <r>
    <s v="CLI-1060"/>
    <x v="55"/>
    <x v="2"/>
    <n v="12000"/>
    <n v="1.76"/>
    <x v="0"/>
    <n v="337"/>
    <x v="1"/>
    <x v="1"/>
    <x v="0"/>
    <x v="0"/>
  </r>
  <r>
    <s v="CLI-1061"/>
    <x v="56"/>
    <x v="1"/>
    <n v="45000"/>
    <n v="2.57"/>
    <x v="6"/>
    <n v="629"/>
    <x v="0"/>
    <x v="1"/>
    <x v="3"/>
    <x v="3"/>
  </r>
  <r>
    <s v="CLI-1062"/>
    <x v="57"/>
    <x v="1"/>
    <n v="25000"/>
    <n v="3.61"/>
    <x v="0"/>
    <n v="591"/>
    <x v="1"/>
    <x v="2"/>
    <x v="0"/>
    <x v="0"/>
  </r>
  <r>
    <s v="CLI-1063"/>
    <x v="58"/>
    <x v="4"/>
    <n v="12000"/>
    <n v="3.43"/>
    <x v="5"/>
    <n v="597"/>
    <x v="1"/>
    <x v="0"/>
    <x v="4"/>
    <x v="2"/>
  </r>
  <r>
    <s v="CLI-1064"/>
    <x v="59"/>
    <x v="3"/>
    <n v="80000"/>
    <n v="0.98"/>
    <x v="2"/>
    <n v="817"/>
    <x v="2"/>
    <x v="2"/>
    <x v="2"/>
    <x v="2"/>
  </r>
  <r>
    <s v="CLI-1065"/>
    <x v="60"/>
    <x v="2"/>
    <n v="300000"/>
    <n v="4.0199999999999996"/>
    <x v="5"/>
    <n v="520"/>
    <x v="1"/>
    <x v="0"/>
    <x v="0"/>
    <x v="4"/>
  </r>
  <r>
    <s v="CLI-1066"/>
    <x v="61"/>
    <x v="0"/>
    <n v="12000"/>
    <n v="3.5"/>
    <x v="6"/>
    <n v="925"/>
    <x v="2"/>
    <x v="0"/>
    <x v="0"/>
    <x v="0"/>
  </r>
  <r>
    <s v="CLI-1067"/>
    <x v="62"/>
    <x v="0"/>
    <n v="12000"/>
    <n v="1.57"/>
    <x v="0"/>
    <n v="607"/>
    <x v="0"/>
    <x v="0"/>
    <x v="0"/>
    <x v="4"/>
  </r>
  <r>
    <s v="CLI-1068"/>
    <x v="63"/>
    <x v="0"/>
    <n v="25000"/>
    <n v="1.46"/>
    <x v="6"/>
    <n v="860"/>
    <x v="2"/>
    <x v="0"/>
    <x v="3"/>
    <x v="1"/>
  </r>
  <r>
    <s v="CLI-1069"/>
    <x v="64"/>
    <x v="3"/>
    <n v="12000"/>
    <n v="1.7"/>
    <x v="2"/>
    <n v="669"/>
    <x v="0"/>
    <x v="2"/>
    <x v="1"/>
    <x v="1"/>
  </r>
  <r>
    <s v="CLI-1070"/>
    <x v="65"/>
    <x v="0"/>
    <n v="150000"/>
    <n v="0.8"/>
    <x v="1"/>
    <n v="425"/>
    <x v="1"/>
    <x v="2"/>
    <x v="4"/>
    <x v="1"/>
  </r>
  <r>
    <s v="CLI-1071"/>
    <x v="66"/>
    <x v="0"/>
    <n v="45000"/>
    <n v="2.93"/>
    <x v="4"/>
    <n v="733"/>
    <x v="0"/>
    <x v="1"/>
    <x v="2"/>
    <x v="3"/>
  </r>
  <r>
    <s v="CLI-1072"/>
    <x v="10"/>
    <x v="4"/>
    <n v="5000"/>
    <n v="2.85"/>
    <x v="0"/>
    <n v="483"/>
    <x v="1"/>
    <x v="2"/>
    <x v="3"/>
    <x v="3"/>
  </r>
  <r>
    <s v="CLI-1073"/>
    <x v="67"/>
    <x v="1"/>
    <n v="150000"/>
    <n v="2.79"/>
    <x v="1"/>
    <n v="398"/>
    <x v="1"/>
    <x v="2"/>
    <x v="2"/>
    <x v="4"/>
  </r>
  <r>
    <s v="CLI-1074"/>
    <x v="68"/>
    <x v="1"/>
    <n v="5000"/>
    <n v="2.81"/>
    <x v="3"/>
    <n v="362"/>
    <x v="1"/>
    <x v="2"/>
    <x v="4"/>
    <x v="4"/>
  </r>
  <r>
    <s v="CLI-1075"/>
    <x v="69"/>
    <x v="3"/>
    <n v="45000"/>
    <n v="4.17"/>
    <x v="0"/>
    <n v="613"/>
    <x v="0"/>
    <x v="2"/>
    <x v="2"/>
    <x v="3"/>
  </r>
  <r>
    <s v="CLI-1076"/>
    <x v="70"/>
    <x v="1"/>
    <n v="80000"/>
    <n v="1.86"/>
    <x v="2"/>
    <n v="443"/>
    <x v="1"/>
    <x v="2"/>
    <x v="2"/>
    <x v="2"/>
  </r>
  <r>
    <s v="CLI-1077"/>
    <x v="71"/>
    <x v="2"/>
    <n v="25000"/>
    <n v="2.81"/>
    <x v="2"/>
    <n v="455"/>
    <x v="1"/>
    <x v="2"/>
    <x v="3"/>
    <x v="0"/>
  </r>
  <r>
    <s v="CLI-1078"/>
    <x v="72"/>
    <x v="3"/>
    <n v="300000"/>
    <n v="3.48"/>
    <x v="5"/>
    <n v="947"/>
    <x v="2"/>
    <x v="0"/>
    <x v="1"/>
    <x v="0"/>
  </r>
  <r>
    <s v="CLI-1079"/>
    <x v="73"/>
    <x v="2"/>
    <n v="150000"/>
    <n v="3.87"/>
    <x v="0"/>
    <n v="408"/>
    <x v="1"/>
    <x v="0"/>
    <x v="4"/>
    <x v="2"/>
  </r>
  <r>
    <s v="CLI-1080"/>
    <x v="74"/>
    <x v="4"/>
    <n v="5000"/>
    <n v="0.78"/>
    <x v="2"/>
    <n v="664"/>
    <x v="0"/>
    <x v="0"/>
    <x v="3"/>
    <x v="1"/>
  </r>
  <r>
    <s v="CLI-1081"/>
    <x v="75"/>
    <x v="0"/>
    <n v="150000"/>
    <n v="3.89"/>
    <x v="1"/>
    <n v="519"/>
    <x v="1"/>
    <x v="2"/>
    <x v="2"/>
    <x v="4"/>
  </r>
  <r>
    <s v="CLI-1082"/>
    <x v="76"/>
    <x v="2"/>
    <n v="150000"/>
    <n v="2.2599999999999998"/>
    <x v="6"/>
    <n v="800"/>
    <x v="2"/>
    <x v="2"/>
    <x v="4"/>
    <x v="4"/>
  </r>
  <r>
    <s v="CLI-1083"/>
    <x v="77"/>
    <x v="2"/>
    <n v="45000"/>
    <n v="2.39"/>
    <x v="6"/>
    <n v="728"/>
    <x v="0"/>
    <x v="2"/>
    <x v="3"/>
    <x v="0"/>
  </r>
  <r>
    <s v="CLI-1084"/>
    <x v="78"/>
    <x v="0"/>
    <n v="45000"/>
    <n v="3.84"/>
    <x v="6"/>
    <n v="500"/>
    <x v="1"/>
    <x v="2"/>
    <x v="0"/>
    <x v="3"/>
  </r>
  <r>
    <s v="CLI-1085"/>
    <x v="79"/>
    <x v="0"/>
    <n v="45000"/>
    <n v="2.85"/>
    <x v="4"/>
    <n v="449"/>
    <x v="1"/>
    <x v="2"/>
    <x v="2"/>
    <x v="3"/>
  </r>
  <r>
    <s v="CLI-1086"/>
    <x v="80"/>
    <x v="1"/>
    <n v="25000"/>
    <n v="3.26"/>
    <x v="4"/>
    <n v="528"/>
    <x v="1"/>
    <x v="2"/>
    <x v="1"/>
    <x v="4"/>
  </r>
  <r>
    <s v="CLI-1087"/>
    <x v="81"/>
    <x v="1"/>
    <n v="80000"/>
    <n v="2.61"/>
    <x v="4"/>
    <n v="920"/>
    <x v="2"/>
    <x v="1"/>
    <x v="0"/>
    <x v="0"/>
  </r>
  <r>
    <s v="CLI-1088"/>
    <x v="82"/>
    <x v="1"/>
    <n v="45000"/>
    <n v="4.04"/>
    <x v="4"/>
    <n v="673"/>
    <x v="0"/>
    <x v="2"/>
    <x v="4"/>
    <x v="1"/>
  </r>
  <r>
    <s v="CLI-1089"/>
    <x v="83"/>
    <x v="1"/>
    <n v="300000"/>
    <n v="2.62"/>
    <x v="4"/>
    <n v="835"/>
    <x v="2"/>
    <x v="2"/>
    <x v="1"/>
    <x v="1"/>
  </r>
  <r>
    <s v="CLI-1090"/>
    <x v="19"/>
    <x v="0"/>
    <n v="150000"/>
    <n v="1.71"/>
    <x v="4"/>
    <n v="721"/>
    <x v="0"/>
    <x v="2"/>
    <x v="0"/>
    <x v="0"/>
  </r>
  <r>
    <s v="CLI-1091"/>
    <x v="84"/>
    <x v="3"/>
    <n v="150000"/>
    <n v="0.66"/>
    <x v="6"/>
    <n v="886"/>
    <x v="2"/>
    <x v="0"/>
    <x v="4"/>
    <x v="2"/>
  </r>
  <r>
    <s v="CLI-1092"/>
    <x v="85"/>
    <x v="0"/>
    <n v="300000"/>
    <n v="1.78"/>
    <x v="2"/>
    <n v="920"/>
    <x v="2"/>
    <x v="2"/>
    <x v="2"/>
    <x v="4"/>
  </r>
  <r>
    <s v="CLI-1093"/>
    <x v="86"/>
    <x v="2"/>
    <n v="45000"/>
    <n v="3.73"/>
    <x v="6"/>
    <n v="856"/>
    <x v="2"/>
    <x v="2"/>
    <x v="4"/>
    <x v="1"/>
  </r>
  <r>
    <s v="CLI-1094"/>
    <x v="87"/>
    <x v="1"/>
    <n v="80000"/>
    <n v="4.29"/>
    <x v="4"/>
    <n v="813"/>
    <x v="2"/>
    <x v="0"/>
    <x v="4"/>
    <x v="4"/>
  </r>
  <r>
    <s v="CLI-1095"/>
    <x v="23"/>
    <x v="1"/>
    <n v="25000"/>
    <n v="1.93"/>
    <x v="4"/>
    <n v="779"/>
    <x v="2"/>
    <x v="1"/>
    <x v="1"/>
    <x v="0"/>
  </r>
  <r>
    <s v="CLI-1096"/>
    <x v="75"/>
    <x v="1"/>
    <n v="25000"/>
    <n v="3.43"/>
    <x v="3"/>
    <n v="606"/>
    <x v="0"/>
    <x v="2"/>
    <x v="3"/>
    <x v="3"/>
  </r>
  <r>
    <s v="CLI-1097"/>
    <x v="88"/>
    <x v="3"/>
    <n v="25000"/>
    <n v="1.02"/>
    <x v="5"/>
    <n v="948"/>
    <x v="2"/>
    <x v="2"/>
    <x v="1"/>
    <x v="3"/>
  </r>
  <r>
    <s v="CLI-1098"/>
    <x v="89"/>
    <x v="1"/>
    <n v="150000"/>
    <n v="0.66"/>
    <x v="4"/>
    <n v="472"/>
    <x v="1"/>
    <x v="2"/>
    <x v="4"/>
    <x v="0"/>
  </r>
  <r>
    <s v="CLI-1099"/>
    <x v="90"/>
    <x v="1"/>
    <n v="12000"/>
    <n v="3.32"/>
    <x v="1"/>
    <n v="929"/>
    <x v="2"/>
    <x v="2"/>
    <x v="3"/>
    <x v="4"/>
  </r>
  <r>
    <s v="CLI-1100"/>
    <x v="38"/>
    <x v="3"/>
    <n v="80000"/>
    <n v="1.63"/>
    <x v="1"/>
    <n v="671"/>
    <x v="0"/>
    <x v="2"/>
    <x v="1"/>
    <x v="1"/>
  </r>
  <r>
    <s v="CLI-1101"/>
    <x v="1"/>
    <x v="2"/>
    <n v="300000"/>
    <n v="2.2400000000000002"/>
    <x v="4"/>
    <n v="352"/>
    <x v="1"/>
    <x v="0"/>
    <x v="0"/>
    <x v="4"/>
  </r>
  <r>
    <s v="CLI-1102"/>
    <x v="91"/>
    <x v="2"/>
    <n v="300000"/>
    <n v="1.04"/>
    <x v="1"/>
    <n v="721"/>
    <x v="0"/>
    <x v="3"/>
    <x v="1"/>
    <x v="2"/>
  </r>
  <r>
    <s v="CLI-1103"/>
    <x v="92"/>
    <x v="3"/>
    <n v="12000"/>
    <n v="4.22"/>
    <x v="5"/>
    <n v="627"/>
    <x v="0"/>
    <x v="2"/>
    <x v="3"/>
    <x v="0"/>
  </r>
  <r>
    <s v="CLI-1104"/>
    <x v="2"/>
    <x v="1"/>
    <n v="12000"/>
    <n v="0.62"/>
    <x v="3"/>
    <n v="556"/>
    <x v="1"/>
    <x v="2"/>
    <x v="0"/>
    <x v="0"/>
  </r>
  <r>
    <s v="CLI-1105"/>
    <x v="93"/>
    <x v="2"/>
    <n v="80000"/>
    <n v="2"/>
    <x v="1"/>
    <n v="523"/>
    <x v="1"/>
    <x v="3"/>
    <x v="3"/>
    <x v="0"/>
  </r>
  <r>
    <s v="CLI-1106"/>
    <x v="94"/>
    <x v="2"/>
    <n v="25000"/>
    <n v="1.07"/>
    <x v="6"/>
    <n v="867"/>
    <x v="2"/>
    <x v="2"/>
    <x v="4"/>
    <x v="2"/>
  </r>
  <r>
    <s v="CLI-1107"/>
    <x v="95"/>
    <x v="0"/>
    <n v="25000"/>
    <n v="3.53"/>
    <x v="4"/>
    <n v="693"/>
    <x v="0"/>
    <x v="2"/>
    <x v="4"/>
    <x v="3"/>
  </r>
  <r>
    <s v="CLI-1108"/>
    <x v="96"/>
    <x v="0"/>
    <n v="300000"/>
    <n v="3.71"/>
    <x v="3"/>
    <n v="606"/>
    <x v="0"/>
    <x v="2"/>
    <x v="3"/>
    <x v="4"/>
  </r>
  <r>
    <s v="CLI-1109"/>
    <x v="97"/>
    <x v="1"/>
    <n v="45000"/>
    <n v="2.82"/>
    <x v="5"/>
    <n v="577"/>
    <x v="1"/>
    <x v="2"/>
    <x v="0"/>
    <x v="3"/>
  </r>
  <r>
    <s v="CLI-1110"/>
    <x v="98"/>
    <x v="4"/>
    <n v="80000"/>
    <n v="3.97"/>
    <x v="4"/>
    <n v="829"/>
    <x v="2"/>
    <x v="2"/>
    <x v="2"/>
    <x v="0"/>
  </r>
  <r>
    <s v="CLI-1111"/>
    <x v="97"/>
    <x v="3"/>
    <n v="5000"/>
    <n v="2.2200000000000002"/>
    <x v="6"/>
    <n v="439"/>
    <x v="1"/>
    <x v="3"/>
    <x v="3"/>
    <x v="4"/>
  </r>
  <r>
    <s v="CLI-1112"/>
    <x v="53"/>
    <x v="4"/>
    <n v="12000"/>
    <n v="1.26"/>
    <x v="4"/>
    <n v="623"/>
    <x v="0"/>
    <x v="2"/>
    <x v="0"/>
    <x v="0"/>
  </r>
  <r>
    <s v="CLI-1113"/>
    <x v="99"/>
    <x v="3"/>
    <n v="45000"/>
    <n v="4.01"/>
    <x v="0"/>
    <n v="859"/>
    <x v="2"/>
    <x v="2"/>
    <x v="3"/>
    <x v="0"/>
  </r>
  <r>
    <s v="CLI-1114"/>
    <x v="100"/>
    <x v="4"/>
    <n v="300000"/>
    <n v="3.02"/>
    <x v="5"/>
    <n v="874"/>
    <x v="2"/>
    <x v="2"/>
    <x v="2"/>
    <x v="0"/>
  </r>
  <r>
    <s v="CLI-1115"/>
    <x v="101"/>
    <x v="4"/>
    <n v="150000"/>
    <n v="1.2"/>
    <x v="5"/>
    <n v="498"/>
    <x v="1"/>
    <x v="2"/>
    <x v="2"/>
    <x v="1"/>
  </r>
  <r>
    <s v="CLI-1116"/>
    <x v="31"/>
    <x v="1"/>
    <n v="5000"/>
    <n v="3.06"/>
    <x v="2"/>
    <n v="567"/>
    <x v="1"/>
    <x v="1"/>
    <x v="3"/>
    <x v="1"/>
  </r>
  <r>
    <s v="CLI-1117"/>
    <x v="102"/>
    <x v="0"/>
    <n v="25000"/>
    <n v="0.87"/>
    <x v="0"/>
    <n v="531"/>
    <x v="1"/>
    <x v="2"/>
    <x v="4"/>
    <x v="4"/>
  </r>
  <r>
    <s v="CLI-1118"/>
    <x v="103"/>
    <x v="3"/>
    <n v="150000"/>
    <n v="1.65"/>
    <x v="3"/>
    <n v="568"/>
    <x v="1"/>
    <x v="2"/>
    <x v="0"/>
    <x v="1"/>
  </r>
  <r>
    <s v="CLI-1119"/>
    <x v="104"/>
    <x v="4"/>
    <n v="150000"/>
    <n v="3.42"/>
    <x v="1"/>
    <n v="558"/>
    <x v="1"/>
    <x v="2"/>
    <x v="2"/>
    <x v="1"/>
  </r>
  <r>
    <s v="CLI-1120"/>
    <x v="105"/>
    <x v="4"/>
    <n v="300000"/>
    <n v="0.6"/>
    <x v="3"/>
    <n v="696"/>
    <x v="0"/>
    <x v="0"/>
    <x v="0"/>
    <x v="4"/>
  </r>
  <r>
    <s v="CLI-1121"/>
    <x v="106"/>
    <x v="0"/>
    <n v="5000"/>
    <n v="0.6"/>
    <x v="3"/>
    <n v="618"/>
    <x v="0"/>
    <x v="2"/>
    <x v="4"/>
    <x v="0"/>
  </r>
  <r>
    <s v="CLI-1122"/>
    <x v="107"/>
    <x v="0"/>
    <n v="5000"/>
    <n v="4.5"/>
    <x v="3"/>
    <n v="871"/>
    <x v="2"/>
    <x v="1"/>
    <x v="3"/>
    <x v="0"/>
  </r>
  <r>
    <s v="CLI-1123"/>
    <x v="108"/>
    <x v="4"/>
    <n v="80000"/>
    <n v="3.11"/>
    <x v="0"/>
    <n v="821"/>
    <x v="2"/>
    <x v="1"/>
    <x v="0"/>
    <x v="0"/>
  </r>
  <r>
    <s v="CLI-1124"/>
    <x v="109"/>
    <x v="2"/>
    <n v="5000"/>
    <n v="3.24"/>
    <x v="0"/>
    <n v="882"/>
    <x v="2"/>
    <x v="3"/>
    <x v="0"/>
    <x v="0"/>
  </r>
  <r>
    <s v="CLI-1125"/>
    <x v="110"/>
    <x v="4"/>
    <n v="5000"/>
    <n v="1.03"/>
    <x v="0"/>
    <n v="669"/>
    <x v="0"/>
    <x v="2"/>
    <x v="0"/>
    <x v="1"/>
  </r>
  <r>
    <s v="CLI-1126"/>
    <x v="84"/>
    <x v="0"/>
    <n v="45000"/>
    <n v="2.64"/>
    <x v="6"/>
    <n v="709"/>
    <x v="0"/>
    <x v="0"/>
    <x v="3"/>
    <x v="3"/>
  </r>
  <r>
    <s v="CLI-1127"/>
    <x v="111"/>
    <x v="2"/>
    <n v="45000"/>
    <n v="1.65"/>
    <x v="1"/>
    <n v="855"/>
    <x v="2"/>
    <x v="2"/>
    <x v="0"/>
    <x v="4"/>
  </r>
  <r>
    <s v="CLI-1128"/>
    <x v="112"/>
    <x v="1"/>
    <n v="25000"/>
    <n v="2"/>
    <x v="5"/>
    <n v="526"/>
    <x v="1"/>
    <x v="2"/>
    <x v="0"/>
    <x v="1"/>
  </r>
  <r>
    <s v="CLI-1129"/>
    <x v="113"/>
    <x v="1"/>
    <n v="12000"/>
    <n v="0.81"/>
    <x v="5"/>
    <n v="919"/>
    <x v="2"/>
    <x v="0"/>
    <x v="4"/>
    <x v="1"/>
  </r>
  <r>
    <s v="CLI-1130"/>
    <x v="85"/>
    <x v="1"/>
    <n v="80000"/>
    <n v="3.6"/>
    <x v="3"/>
    <n v="872"/>
    <x v="2"/>
    <x v="2"/>
    <x v="1"/>
    <x v="0"/>
  </r>
  <r>
    <s v="CLI-1131"/>
    <x v="114"/>
    <x v="4"/>
    <n v="5000"/>
    <n v="1.07"/>
    <x v="0"/>
    <n v="678"/>
    <x v="0"/>
    <x v="1"/>
    <x v="0"/>
    <x v="0"/>
  </r>
  <r>
    <s v="CLI-1132"/>
    <x v="115"/>
    <x v="3"/>
    <n v="150000"/>
    <n v="4.26"/>
    <x v="4"/>
    <n v="934"/>
    <x v="2"/>
    <x v="2"/>
    <x v="1"/>
    <x v="4"/>
  </r>
  <r>
    <s v="CLI-1133"/>
    <x v="68"/>
    <x v="2"/>
    <n v="150000"/>
    <n v="3.3"/>
    <x v="3"/>
    <n v="511"/>
    <x v="1"/>
    <x v="1"/>
    <x v="2"/>
    <x v="0"/>
  </r>
  <r>
    <s v="CLI-1134"/>
    <x v="116"/>
    <x v="4"/>
    <n v="300000"/>
    <n v="4.4400000000000004"/>
    <x v="0"/>
    <n v="644"/>
    <x v="0"/>
    <x v="3"/>
    <x v="2"/>
    <x v="3"/>
  </r>
  <r>
    <s v="CLI-1135"/>
    <x v="90"/>
    <x v="1"/>
    <n v="45000"/>
    <n v="1.91"/>
    <x v="5"/>
    <n v="724"/>
    <x v="0"/>
    <x v="1"/>
    <x v="0"/>
    <x v="3"/>
  </r>
  <r>
    <s v="CLI-1136"/>
    <x v="117"/>
    <x v="3"/>
    <n v="300000"/>
    <n v="4.5"/>
    <x v="2"/>
    <n v="700"/>
    <x v="0"/>
    <x v="3"/>
    <x v="2"/>
    <x v="4"/>
  </r>
  <r>
    <s v="CLI-1137"/>
    <x v="118"/>
    <x v="3"/>
    <n v="25000"/>
    <n v="4.21"/>
    <x v="6"/>
    <n v="689"/>
    <x v="0"/>
    <x v="3"/>
    <x v="2"/>
    <x v="4"/>
  </r>
  <r>
    <s v="CLI-1138"/>
    <x v="119"/>
    <x v="1"/>
    <n v="5000"/>
    <n v="2.74"/>
    <x v="0"/>
    <n v="561"/>
    <x v="1"/>
    <x v="3"/>
    <x v="2"/>
    <x v="2"/>
  </r>
  <r>
    <s v="CLI-1139"/>
    <x v="120"/>
    <x v="4"/>
    <n v="150000"/>
    <n v="2.15"/>
    <x v="1"/>
    <n v="497"/>
    <x v="1"/>
    <x v="1"/>
    <x v="0"/>
    <x v="1"/>
  </r>
  <r>
    <s v="CLI-1140"/>
    <x v="121"/>
    <x v="2"/>
    <n v="80000"/>
    <n v="3.34"/>
    <x v="5"/>
    <n v="698"/>
    <x v="0"/>
    <x v="3"/>
    <x v="3"/>
    <x v="2"/>
  </r>
  <r>
    <s v="CLI-1141"/>
    <x v="122"/>
    <x v="1"/>
    <n v="25000"/>
    <n v="4.13"/>
    <x v="4"/>
    <n v="697"/>
    <x v="0"/>
    <x v="0"/>
    <x v="2"/>
    <x v="0"/>
  </r>
  <r>
    <s v="CLI-1142"/>
    <x v="123"/>
    <x v="3"/>
    <n v="80000"/>
    <n v="1.63"/>
    <x v="0"/>
    <n v="645"/>
    <x v="0"/>
    <x v="2"/>
    <x v="4"/>
    <x v="3"/>
  </r>
  <r>
    <s v="CLI-1143"/>
    <x v="124"/>
    <x v="1"/>
    <n v="5000"/>
    <n v="1.87"/>
    <x v="5"/>
    <n v="380"/>
    <x v="1"/>
    <x v="2"/>
    <x v="0"/>
    <x v="3"/>
  </r>
  <r>
    <s v="CLI-1144"/>
    <x v="125"/>
    <x v="4"/>
    <n v="5000"/>
    <n v="2.96"/>
    <x v="5"/>
    <n v="613"/>
    <x v="0"/>
    <x v="2"/>
    <x v="3"/>
    <x v="4"/>
  </r>
  <r>
    <s v="CLI-1145"/>
    <x v="126"/>
    <x v="2"/>
    <n v="300000"/>
    <n v="3.12"/>
    <x v="4"/>
    <n v="383"/>
    <x v="1"/>
    <x v="1"/>
    <x v="3"/>
    <x v="0"/>
  </r>
  <r>
    <s v="CLI-1146"/>
    <x v="127"/>
    <x v="0"/>
    <n v="150000"/>
    <n v="1.58"/>
    <x v="1"/>
    <n v="769"/>
    <x v="2"/>
    <x v="2"/>
    <x v="2"/>
    <x v="3"/>
  </r>
  <r>
    <s v="CLI-1147"/>
    <x v="128"/>
    <x v="0"/>
    <n v="80000"/>
    <n v="1.57"/>
    <x v="2"/>
    <n v="786"/>
    <x v="2"/>
    <x v="1"/>
    <x v="3"/>
    <x v="4"/>
  </r>
  <r>
    <s v="CLI-1148"/>
    <x v="34"/>
    <x v="3"/>
    <n v="5000"/>
    <n v="1.46"/>
    <x v="0"/>
    <n v="911"/>
    <x v="2"/>
    <x v="2"/>
    <x v="2"/>
    <x v="4"/>
  </r>
  <r>
    <s v="CLI-1149"/>
    <x v="129"/>
    <x v="0"/>
    <n v="5000"/>
    <n v="1.56"/>
    <x v="0"/>
    <n v="815"/>
    <x v="2"/>
    <x v="0"/>
    <x v="2"/>
    <x v="1"/>
  </r>
  <r>
    <s v="CLI-1150"/>
    <x v="130"/>
    <x v="4"/>
    <n v="5000"/>
    <n v="3.17"/>
    <x v="2"/>
    <n v="692"/>
    <x v="0"/>
    <x v="1"/>
    <x v="3"/>
    <x v="4"/>
  </r>
  <r>
    <s v="CLI-1151"/>
    <x v="78"/>
    <x v="0"/>
    <n v="12000"/>
    <n v="2.06"/>
    <x v="0"/>
    <n v="832"/>
    <x v="2"/>
    <x v="3"/>
    <x v="2"/>
    <x v="0"/>
  </r>
  <r>
    <s v="CLI-1152"/>
    <x v="131"/>
    <x v="2"/>
    <n v="150000"/>
    <n v="4.4800000000000004"/>
    <x v="5"/>
    <n v="440"/>
    <x v="1"/>
    <x v="0"/>
    <x v="1"/>
    <x v="4"/>
  </r>
  <r>
    <s v="CLI-1153"/>
    <x v="111"/>
    <x v="3"/>
    <n v="300000"/>
    <n v="2.4700000000000002"/>
    <x v="4"/>
    <n v="617"/>
    <x v="0"/>
    <x v="3"/>
    <x v="3"/>
    <x v="1"/>
  </r>
  <r>
    <s v="CLI-1154"/>
    <x v="132"/>
    <x v="3"/>
    <n v="25000"/>
    <n v="1.59"/>
    <x v="6"/>
    <n v="419"/>
    <x v="1"/>
    <x v="1"/>
    <x v="1"/>
    <x v="2"/>
  </r>
  <r>
    <s v="CLI-1155"/>
    <x v="133"/>
    <x v="4"/>
    <n v="150000"/>
    <n v="1.99"/>
    <x v="5"/>
    <n v="476"/>
    <x v="1"/>
    <x v="1"/>
    <x v="4"/>
    <x v="1"/>
  </r>
  <r>
    <s v="CLI-1156"/>
    <x v="134"/>
    <x v="0"/>
    <n v="45000"/>
    <n v="1.22"/>
    <x v="3"/>
    <n v="806"/>
    <x v="2"/>
    <x v="3"/>
    <x v="0"/>
    <x v="1"/>
  </r>
  <r>
    <s v="CLI-1157"/>
    <x v="125"/>
    <x v="2"/>
    <n v="45000"/>
    <n v="2.62"/>
    <x v="1"/>
    <n v="515"/>
    <x v="1"/>
    <x v="0"/>
    <x v="3"/>
    <x v="2"/>
  </r>
  <r>
    <s v="CLI-1158"/>
    <x v="135"/>
    <x v="1"/>
    <n v="80000"/>
    <n v="2.92"/>
    <x v="0"/>
    <n v="454"/>
    <x v="1"/>
    <x v="0"/>
    <x v="0"/>
    <x v="1"/>
  </r>
  <r>
    <s v="CLI-1159"/>
    <x v="136"/>
    <x v="3"/>
    <n v="5000"/>
    <n v="3.75"/>
    <x v="0"/>
    <n v="470"/>
    <x v="1"/>
    <x v="2"/>
    <x v="2"/>
    <x v="2"/>
  </r>
  <r>
    <s v="CLI-1160"/>
    <x v="137"/>
    <x v="2"/>
    <n v="300000"/>
    <n v="0.62"/>
    <x v="2"/>
    <n v="529"/>
    <x v="1"/>
    <x v="2"/>
    <x v="0"/>
    <x v="2"/>
  </r>
  <r>
    <s v="CLI-1161"/>
    <x v="138"/>
    <x v="1"/>
    <n v="5000"/>
    <n v="4.1900000000000004"/>
    <x v="0"/>
    <n v="579"/>
    <x v="1"/>
    <x v="1"/>
    <x v="4"/>
    <x v="2"/>
  </r>
  <r>
    <s v="CLI-1162"/>
    <x v="139"/>
    <x v="4"/>
    <n v="5000"/>
    <n v="2.6"/>
    <x v="4"/>
    <n v="563"/>
    <x v="1"/>
    <x v="3"/>
    <x v="0"/>
    <x v="0"/>
  </r>
  <r>
    <s v="CLI-1163"/>
    <x v="140"/>
    <x v="3"/>
    <n v="45000"/>
    <n v="2.0499999999999998"/>
    <x v="1"/>
    <n v="643"/>
    <x v="0"/>
    <x v="2"/>
    <x v="2"/>
    <x v="1"/>
  </r>
  <r>
    <s v="CLI-1164"/>
    <x v="141"/>
    <x v="2"/>
    <n v="45000"/>
    <n v="3.98"/>
    <x v="0"/>
    <n v="808"/>
    <x v="2"/>
    <x v="2"/>
    <x v="0"/>
    <x v="3"/>
  </r>
  <r>
    <s v="CLI-1165"/>
    <x v="87"/>
    <x v="2"/>
    <n v="150000"/>
    <n v="2.37"/>
    <x v="2"/>
    <n v="612"/>
    <x v="0"/>
    <x v="2"/>
    <x v="0"/>
    <x v="0"/>
  </r>
  <r>
    <s v="CLI-1166"/>
    <x v="142"/>
    <x v="0"/>
    <n v="25000"/>
    <n v="0.74"/>
    <x v="6"/>
    <n v="948"/>
    <x v="2"/>
    <x v="2"/>
    <x v="1"/>
    <x v="1"/>
  </r>
  <r>
    <s v="CLI-1167"/>
    <x v="67"/>
    <x v="4"/>
    <n v="12000"/>
    <n v="0.6"/>
    <x v="4"/>
    <n v="630"/>
    <x v="0"/>
    <x v="2"/>
    <x v="0"/>
    <x v="2"/>
  </r>
  <r>
    <s v="CLI-1168"/>
    <x v="143"/>
    <x v="1"/>
    <n v="150000"/>
    <n v="4.24"/>
    <x v="3"/>
    <n v="476"/>
    <x v="1"/>
    <x v="0"/>
    <x v="3"/>
    <x v="0"/>
  </r>
  <r>
    <s v="CLI-1169"/>
    <x v="144"/>
    <x v="1"/>
    <n v="80000"/>
    <n v="3.1"/>
    <x v="1"/>
    <n v="653"/>
    <x v="0"/>
    <x v="2"/>
    <x v="2"/>
    <x v="2"/>
  </r>
  <r>
    <s v="CLI-1170"/>
    <x v="145"/>
    <x v="0"/>
    <n v="12000"/>
    <n v="1.76"/>
    <x v="4"/>
    <n v="545"/>
    <x v="1"/>
    <x v="1"/>
    <x v="1"/>
    <x v="1"/>
  </r>
  <r>
    <s v="CLI-1171"/>
    <x v="26"/>
    <x v="3"/>
    <n v="300000"/>
    <n v="3.63"/>
    <x v="3"/>
    <n v="563"/>
    <x v="1"/>
    <x v="3"/>
    <x v="4"/>
    <x v="1"/>
  </r>
  <r>
    <s v="CLI-1172"/>
    <x v="88"/>
    <x v="4"/>
    <n v="5000"/>
    <n v="2.99"/>
    <x v="1"/>
    <n v="847"/>
    <x v="2"/>
    <x v="2"/>
    <x v="3"/>
    <x v="0"/>
  </r>
  <r>
    <s v="CLI-1173"/>
    <x v="116"/>
    <x v="3"/>
    <n v="150000"/>
    <n v="1.96"/>
    <x v="1"/>
    <n v="429"/>
    <x v="1"/>
    <x v="1"/>
    <x v="0"/>
    <x v="3"/>
  </r>
  <r>
    <s v="CLI-1174"/>
    <x v="146"/>
    <x v="4"/>
    <n v="5000"/>
    <n v="2.83"/>
    <x v="2"/>
    <n v="493"/>
    <x v="1"/>
    <x v="2"/>
    <x v="3"/>
    <x v="3"/>
  </r>
  <r>
    <s v="CLI-1175"/>
    <x v="147"/>
    <x v="4"/>
    <n v="300000"/>
    <n v="3.79"/>
    <x v="2"/>
    <n v="313"/>
    <x v="1"/>
    <x v="2"/>
    <x v="0"/>
    <x v="0"/>
  </r>
  <r>
    <s v="CLI-1176"/>
    <x v="148"/>
    <x v="3"/>
    <n v="5000"/>
    <n v="4.4800000000000004"/>
    <x v="6"/>
    <n v="404"/>
    <x v="1"/>
    <x v="2"/>
    <x v="4"/>
    <x v="2"/>
  </r>
  <r>
    <s v="CLI-1177"/>
    <x v="149"/>
    <x v="2"/>
    <n v="150000"/>
    <n v="3.4"/>
    <x v="5"/>
    <n v="624"/>
    <x v="0"/>
    <x v="0"/>
    <x v="0"/>
    <x v="2"/>
  </r>
  <r>
    <s v="CLI-1178"/>
    <x v="150"/>
    <x v="2"/>
    <n v="300000"/>
    <n v="1.31"/>
    <x v="6"/>
    <n v="864"/>
    <x v="2"/>
    <x v="2"/>
    <x v="1"/>
    <x v="1"/>
  </r>
  <r>
    <s v="CLI-1179"/>
    <x v="151"/>
    <x v="4"/>
    <n v="25000"/>
    <n v="0.9"/>
    <x v="1"/>
    <n v="946"/>
    <x v="2"/>
    <x v="2"/>
    <x v="1"/>
    <x v="3"/>
  </r>
  <r>
    <s v="CLI-1180"/>
    <x v="152"/>
    <x v="2"/>
    <n v="25000"/>
    <n v="2.2200000000000002"/>
    <x v="0"/>
    <n v="689"/>
    <x v="0"/>
    <x v="0"/>
    <x v="3"/>
    <x v="4"/>
  </r>
  <r>
    <s v="CLI-1181"/>
    <x v="153"/>
    <x v="3"/>
    <n v="25000"/>
    <n v="1.27"/>
    <x v="1"/>
    <n v="650"/>
    <x v="0"/>
    <x v="2"/>
    <x v="3"/>
    <x v="2"/>
  </r>
  <r>
    <s v="CLI-1182"/>
    <x v="154"/>
    <x v="3"/>
    <n v="5000"/>
    <n v="3.61"/>
    <x v="4"/>
    <n v="527"/>
    <x v="1"/>
    <x v="0"/>
    <x v="4"/>
    <x v="4"/>
  </r>
  <r>
    <s v="CLI-1183"/>
    <x v="53"/>
    <x v="1"/>
    <n v="5000"/>
    <n v="3.52"/>
    <x v="3"/>
    <n v="585"/>
    <x v="1"/>
    <x v="3"/>
    <x v="1"/>
    <x v="2"/>
  </r>
  <r>
    <s v="CLI-1184"/>
    <x v="155"/>
    <x v="0"/>
    <n v="12000"/>
    <n v="3.65"/>
    <x v="0"/>
    <n v="832"/>
    <x v="2"/>
    <x v="2"/>
    <x v="0"/>
    <x v="4"/>
  </r>
  <r>
    <s v="CLI-1185"/>
    <x v="75"/>
    <x v="4"/>
    <n v="45000"/>
    <n v="1.55"/>
    <x v="6"/>
    <n v="314"/>
    <x v="1"/>
    <x v="1"/>
    <x v="4"/>
    <x v="2"/>
  </r>
  <r>
    <s v="CLI-1186"/>
    <x v="156"/>
    <x v="3"/>
    <n v="80000"/>
    <n v="1.08"/>
    <x v="4"/>
    <n v="587"/>
    <x v="1"/>
    <x v="2"/>
    <x v="2"/>
    <x v="1"/>
  </r>
  <r>
    <s v="CLI-1187"/>
    <x v="157"/>
    <x v="0"/>
    <n v="300000"/>
    <n v="0.68"/>
    <x v="6"/>
    <n v="848"/>
    <x v="2"/>
    <x v="2"/>
    <x v="1"/>
    <x v="1"/>
  </r>
  <r>
    <s v="CLI-1188"/>
    <x v="158"/>
    <x v="0"/>
    <n v="300000"/>
    <n v="1.9"/>
    <x v="3"/>
    <n v="864"/>
    <x v="2"/>
    <x v="2"/>
    <x v="4"/>
    <x v="3"/>
  </r>
  <r>
    <s v="CLI-1189"/>
    <x v="133"/>
    <x v="0"/>
    <n v="45000"/>
    <n v="4.3899999999999997"/>
    <x v="6"/>
    <n v="773"/>
    <x v="2"/>
    <x v="3"/>
    <x v="2"/>
    <x v="4"/>
  </r>
  <r>
    <s v="CLI-1190"/>
    <x v="159"/>
    <x v="3"/>
    <n v="45000"/>
    <n v="0.89"/>
    <x v="3"/>
    <n v="508"/>
    <x v="1"/>
    <x v="2"/>
    <x v="3"/>
    <x v="1"/>
  </r>
  <r>
    <s v="CLI-1191"/>
    <x v="157"/>
    <x v="4"/>
    <n v="5000"/>
    <n v="1.9"/>
    <x v="4"/>
    <n v="860"/>
    <x v="2"/>
    <x v="2"/>
    <x v="4"/>
    <x v="0"/>
  </r>
  <r>
    <s v="CLI-1192"/>
    <x v="115"/>
    <x v="1"/>
    <n v="45000"/>
    <n v="2.25"/>
    <x v="6"/>
    <n v="575"/>
    <x v="1"/>
    <x v="2"/>
    <x v="1"/>
    <x v="4"/>
  </r>
  <r>
    <s v="CLI-1193"/>
    <x v="38"/>
    <x v="4"/>
    <n v="25000"/>
    <n v="0.78"/>
    <x v="5"/>
    <n v="605"/>
    <x v="0"/>
    <x v="2"/>
    <x v="2"/>
    <x v="3"/>
  </r>
  <r>
    <s v="CLI-1194"/>
    <x v="77"/>
    <x v="4"/>
    <n v="150000"/>
    <n v="4.49"/>
    <x v="5"/>
    <n v="428"/>
    <x v="1"/>
    <x v="3"/>
    <x v="3"/>
    <x v="2"/>
  </r>
  <r>
    <s v="CLI-1195"/>
    <x v="100"/>
    <x v="1"/>
    <n v="150000"/>
    <n v="1.21"/>
    <x v="4"/>
    <n v="301"/>
    <x v="1"/>
    <x v="0"/>
    <x v="0"/>
    <x v="1"/>
  </r>
  <r>
    <s v="CLI-1196"/>
    <x v="160"/>
    <x v="3"/>
    <n v="5000"/>
    <n v="4.29"/>
    <x v="2"/>
    <n v="500"/>
    <x v="1"/>
    <x v="3"/>
    <x v="2"/>
    <x v="1"/>
  </r>
  <r>
    <s v="CLI-1197"/>
    <x v="161"/>
    <x v="4"/>
    <n v="12000"/>
    <n v="2.0099999999999998"/>
    <x v="6"/>
    <n v="542"/>
    <x v="1"/>
    <x v="0"/>
    <x v="1"/>
    <x v="4"/>
  </r>
  <r>
    <s v="CLI-1198"/>
    <x v="162"/>
    <x v="3"/>
    <n v="150000"/>
    <n v="3.58"/>
    <x v="1"/>
    <n v="581"/>
    <x v="1"/>
    <x v="2"/>
    <x v="1"/>
    <x v="4"/>
  </r>
  <r>
    <s v="CLI-1199"/>
    <x v="163"/>
    <x v="1"/>
    <n v="25000"/>
    <n v="2.8"/>
    <x v="3"/>
    <n v="562"/>
    <x v="1"/>
    <x v="2"/>
    <x v="0"/>
    <x v="2"/>
  </r>
  <r>
    <s v="CLI-1200"/>
    <x v="164"/>
    <x v="1"/>
    <n v="300000"/>
    <n v="4.12"/>
    <x v="2"/>
    <n v="533"/>
    <x v="1"/>
    <x v="2"/>
    <x v="1"/>
    <x v="4"/>
  </r>
  <r>
    <s v="CLI-1201"/>
    <x v="165"/>
    <x v="1"/>
    <n v="150000"/>
    <n v="0.73"/>
    <x v="2"/>
    <n v="747"/>
    <x v="0"/>
    <x v="2"/>
    <x v="4"/>
    <x v="1"/>
  </r>
  <r>
    <s v="CLI-1202"/>
    <x v="166"/>
    <x v="0"/>
    <n v="80000"/>
    <n v="3.06"/>
    <x v="3"/>
    <n v="658"/>
    <x v="0"/>
    <x v="1"/>
    <x v="4"/>
    <x v="0"/>
  </r>
  <r>
    <s v="CLI-1203"/>
    <x v="167"/>
    <x v="4"/>
    <n v="80000"/>
    <n v="1.85"/>
    <x v="0"/>
    <n v="420"/>
    <x v="1"/>
    <x v="3"/>
    <x v="2"/>
    <x v="0"/>
  </r>
  <r>
    <s v="CLI-1204"/>
    <x v="168"/>
    <x v="2"/>
    <n v="45000"/>
    <n v="2.06"/>
    <x v="6"/>
    <n v="382"/>
    <x v="1"/>
    <x v="1"/>
    <x v="2"/>
    <x v="2"/>
  </r>
  <r>
    <s v="CLI-1205"/>
    <x v="169"/>
    <x v="3"/>
    <n v="45000"/>
    <n v="1.84"/>
    <x v="2"/>
    <n v="857"/>
    <x v="2"/>
    <x v="2"/>
    <x v="0"/>
    <x v="3"/>
  </r>
  <r>
    <s v="CLI-1206"/>
    <x v="77"/>
    <x v="0"/>
    <n v="12000"/>
    <n v="3.95"/>
    <x v="1"/>
    <n v="337"/>
    <x v="1"/>
    <x v="1"/>
    <x v="1"/>
    <x v="4"/>
  </r>
  <r>
    <s v="CLI-1207"/>
    <x v="170"/>
    <x v="0"/>
    <n v="5000"/>
    <n v="1.33"/>
    <x v="6"/>
    <n v="470"/>
    <x v="1"/>
    <x v="2"/>
    <x v="2"/>
    <x v="0"/>
  </r>
  <r>
    <s v="CLI-1208"/>
    <x v="171"/>
    <x v="4"/>
    <n v="5000"/>
    <n v="4.33"/>
    <x v="3"/>
    <n v="806"/>
    <x v="2"/>
    <x v="2"/>
    <x v="0"/>
    <x v="1"/>
  </r>
  <r>
    <s v="CLI-1209"/>
    <x v="172"/>
    <x v="2"/>
    <n v="12000"/>
    <n v="3.95"/>
    <x v="6"/>
    <n v="756"/>
    <x v="2"/>
    <x v="1"/>
    <x v="0"/>
    <x v="1"/>
  </r>
  <r>
    <s v="CLI-1210"/>
    <x v="173"/>
    <x v="1"/>
    <n v="25000"/>
    <n v="4.33"/>
    <x v="2"/>
    <n v="745"/>
    <x v="0"/>
    <x v="2"/>
    <x v="2"/>
    <x v="3"/>
  </r>
  <r>
    <s v="CLI-1211"/>
    <x v="147"/>
    <x v="1"/>
    <n v="300000"/>
    <n v="3.89"/>
    <x v="6"/>
    <n v="665"/>
    <x v="0"/>
    <x v="1"/>
    <x v="2"/>
    <x v="4"/>
  </r>
  <r>
    <s v="CLI-1212"/>
    <x v="174"/>
    <x v="4"/>
    <n v="80000"/>
    <n v="1.1200000000000001"/>
    <x v="1"/>
    <n v="460"/>
    <x v="1"/>
    <x v="3"/>
    <x v="3"/>
    <x v="4"/>
  </r>
  <r>
    <s v="CLI-1213"/>
    <x v="175"/>
    <x v="3"/>
    <n v="45000"/>
    <n v="3.15"/>
    <x v="4"/>
    <n v="392"/>
    <x v="1"/>
    <x v="0"/>
    <x v="0"/>
    <x v="4"/>
  </r>
  <r>
    <s v="CLI-1214"/>
    <x v="19"/>
    <x v="4"/>
    <n v="80000"/>
    <n v="0.98"/>
    <x v="4"/>
    <n v="605"/>
    <x v="0"/>
    <x v="2"/>
    <x v="2"/>
    <x v="0"/>
  </r>
  <r>
    <s v="CLI-1215"/>
    <x v="116"/>
    <x v="3"/>
    <n v="80000"/>
    <n v="4.04"/>
    <x v="3"/>
    <n v="682"/>
    <x v="0"/>
    <x v="2"/>
    <x v="0"/>
    <x v="0"/>
  </r>
  <r>
    <s v="CLI-1216"/>
    <x v="150"/>
    <x v="1"/>
    <n v="45000"/>
    <n v="1.1599999999999999"/>
    <x v="4"/>
    <n v="861"/>
    <x v="2"/>
    <x v="2"/>
    <x v="3"/>
    <x v="3"/>
  </r>
  <r>
    <s v="CLI-1217"/>
    <x v="176"/>
    <x v="4"/>
    <n v="12000"/>
    <n v="0.79"/>
    <x v="0"/>
    <n v="802"/>
    <x v="2"/>
    <x v="1"/>
    <x v="1"/>
    <x v="0"/>
  </r>
  <r>
    <s v="CLI-1218"/>
    <x v="177"/>
    <x v="0"/>
    <n v="12000"/>
    <n v="1.79"/>
    <x v="1"/>
    <n v="844"/>
    <x v="2"/>
    <x v="2"/>
    <x v="3"/>
    <x v="4"/>
  </r>
  <r>
    <s v="CLI-1219"/>
    <x v="167"/>
    <x v="0"/>
    <n v="150000"/>
    <n v="0.75"/>
    <x v="6"/>
    <n v="445"/>
    <x v="1"/>
    <x v="0"/>
    <x v="1"/>
    <x v="1"/>
  </r>
  <r>
    <s v="CLI-1220"/>
    <x v="178"/>
    <x v="0"/>
    <n v="300000"/>
    <n v="4.0999999999999996"/>
    <x v="4"/>
    <n v="580"/>
    <x v="1"/>
    <x v="2"/>
    <x v="3"/>
    <x v="0"/>
  </r>
  <r>
    <s v="CLI-1221"/>
    <x v="179"/>
    <x v="1"/>
    <n v="5000"/>
    <n v="1.97"/>
    <x v="4"/>
    <n v="591"/>
    <x v="1"/>
    <x v="2"/>
    <x v="4"/>
    <x v="4"/>
  </r>
  <r>
    <s v="CLI-1222"/>
    <x v="180"/>
    <x v="0"/>
    <n v="45000"/>
    <n v="1.66"/>
    <x v="5"/>
    <n v="733"/>
    <x v="0"/>
    <x v="2"/>
    <x v="3"/>
    <x v="3"/>
  </r>
  <r>
    <s v="CLI-1223"/>
    <x v="181"/>
    <x v="1"/>
    <n v="45000"/>
    <n v="2.98"/>
    <x v="5"/>
    <n v="782"/>
    <x v="2"/>
    <x v="1"/>
    <x v="3"/>
    <x v="2"/>
  </r>
  <r>
    <s v="CLI-1224"/>
    <x v="143"/>
    <x v="2"/>
    <n v="12000"/>
    <n v="2.76"/>
    <x v="4"/>
    <n v="411"/>
    <x v="1"/>
    <x v="0"/>
    <x v="3"/>
    <x v="3"/>
  </r>
  <r>
    <s v="CLI-1225"/>
    <x v="182"/>
    <x v="0"/>
    <n v="300000"/>
    <n v="3.2"/>
    <x v="3"/>
    <n v="852"/>
    <x v="2"/>
    <x v="2"/>
    <x v="4"/>
    <x v="2"/>
  </r>
  <r>
    <s v="CLI-1226"/>
    <x v="183"/>
    <x v="1"/>
    <n v="150000"/>
    <n v="1.54"/>
    <x v="2"/>
    <n v="808"/>
    <x v="2"/>
    <x v="2"/>
    <x v="2"/>
    <x v="0"/>
  </r>
  <r>
    <s v="CLI-1227"/>
    <x v="184"/>
    <x v="1"/>
    <n v="150000"/>
    <n v="3.89"/>
    <x v="0"/>
    <n v="459"/>
    <x v="1"/>
    <x v="2"/>
    <x v="1"/>
    <x v="0"/>
  </r>
  <r>
    <s v="CLI-1228"/>
    <x v="185"/>
    <x v="0"/>
    <n v="150000"/>
    <n v="4.3600000000000003"/>
    <x v="2"/>
    <n v="801"/>
    <x v="2"/>
    <x v="2"/>
    <x v="1"/>
    <x v="0"/>
  </r>
  <r>
    <s v="CLI-1229"/>
    <x v="186"/>
    <x v="0"/>
    <n v="12000"/>
    <n v="2.27"/>
    <x v="1"/>
    <n v="707"/>
    <x v="0"/>
    <x v="2"/>
    <x v="4"/>
    <x v="3"/>
  </r>
  <r>
    <s v="CLI-1230"/>
    <x v="47"/>
    <x v="2"/>
    <n v="150000"/>
    <n v="3.15"/>
    <x v="0"/>
    <n v="493"/>
    <x v="1"/>
    <x v="1"/>
    <x v="1"/>
    <x v="4"/>
  </r>
  <r>
    <s v="CLI-1231"/>
    <x v="187"/>
    <x v="3"/>
    <n v="45000"/>
    <n v="4.37"/>
    <x v="4"/>
    <n v="645"/>
    <x v="0"/>
    <x v="2"/>
    <x v="4"/>
    <x v="2"/>
  </r>
  <r>
    <s v="CLI-1232"/>
    <x v="151"/>
    <x v="3"/>
    <n v="150000"/>
    <n v="4.4000000000000004"/>
    <x v="3"/>
    <n v="796"/>
    <x v="2"/>
    <x v="2"/>
    <x v="2"/>
    <x v="4"/>
  </r>
  <r>
    <s v="CLI-1233"/>
    <x v="149"/>
    <x v="0"/>
    <n v="5000"/>
    <n v="1.32"/>
    <x v="4"/>
    <n v="336"/>
    <x v="1"/>
    <x v="2"/>
    <x v="4"/>
    <x v="1"/>
  </r>
  <r>
    <s v="CLI-1234"/>
    <x v="122"/>
    <x v="1"/>
    <n v="150000"/>
    <n v="4.4800000000000004"/>
    <x v="0"/>
    <n v="587"/>
    <x v="1"/>
    <x v="2"/>
    <x v="3"/>
    <x v="1"/>
  </r>
  <r>
    <s v="CLI-1235"/>
    <x v="188"/>
    <x v="1"/>
    <n v="5000"/>
    <n v="1.65"/>
    <x v="2"/>
    <n v="397"/>
    <x v="1"/>
    <x v="2"/>
    <x v="2"/>
    <x v="2"/>
  </r>
  <r>
    <s v="CLI-1236"/>
    <x v="24"/>
    <x v="3"/>
    <n v="5000"/>
    <n v="2.44"/>
    <x v="0"/>
    <n v="569"/>
    <x v="1"/>
    <x v="2"/>
    <x v="2"/>
    <x v="4"/>
  </r>
  <r>
    <s v="CLI-1237"/>
    <x v="189"/>
    <x v="3"/>
    <n v="80000"/>
    <n v="3.37"/>
    <x v="3"/>
    <n v="506"/>
    <x v="1"/>
    <x v="0"/>
    <x v="4"/>
    <x v="3"/>
  </r>
  <r>
    <s v="CLI-1238"/>
    <x v="3"/>
    <x v="1"/>
    <n v="300000"/>
    <n v="0.79"/>
    <x v="5"/>
    <n v="835"/>
    <x v="2"/>
    <x v="2"/>
    <x v="3"/>
    <x v="2"/>
  </r>
  <r>
    <s v="CLI-1239"/>
    <x v="190"/>
    <x v="0"/>
    <n v="300000"/>
    <n v="3.61"/>
    <x v="4"/>
    <n v="938"/>
    <x v="2"/>
    <x v="0"/>
    <x v="3"/>
    <x v="4"/>
  </r>
  <r>
    <s v="CLI-1240"/>
    <x v="191"/>
    <x v="3"/>
    <n v="150000"/>
    <n v="2.4700000000000002"/>
    <x v="1"/>
    <n v="657"/>
    <x v="0"/>
    <x v="1"/>
    <x v="1"/>
    <x v="3"/>
  </r>
  <r>
    <s v="CLI-1241"/>
    <x v="192"/>
    <x v="1"/>
    <n v="80000"/>
    <n v="3.17"/>
    <x v="4"/>
    <n v="381"/>
    <x v="1"/>
    <x v="2"/>
    <x v="0"/>
    <x v="3"/>
  </r>
  <r>
    <s v="CLI-1242"/>
    <x v="127"/>
    <x v="0"/>
    <n v="80000"/>
    <n v="3.89"/>
    <x v="5"/>
    <n v="574"/>
    <x v="1"/>
    <x v="0"/>
    <x v="3"/>
    <x v="0"/>
  </r>
  <r>
    <s v="CLI-1243"/>
    <x v="149"/>
    <x v="2"/>
    <n v="5000"/>
    <n v="3.76"/>
    <x v="5"/>
    <n v="333"/>
    <x v="1"/>
    <x v="1"/>
    <x v="0"/>
    <x v="2"/>
  </r>
  <r>
    <s v="CLI-1244"/>
    <x v="193"/>
    <x v="1"/>
    <n v="150000"/>
    <n v="1.17"/>
    <x v="6"/>
    <n v="785"/>
    <x v="2"/>
    <x v="2"/>
    <x v="0"/>
    <x v="2"/>
  </r>
  <r>
    <s v="CLI-1245"/>
    <x v="194"/>
    <x v="2"/>
    <n v="5000"/>
    <n v="3.12"/>
    <x v="0"/>
    <n v="914"/>
    <x v="2"/>
    <x v="3"/>
    <x v="2"/>
    <x v="4"/>
  </r>
  <r>
    <s v="CLI-1246"/>
    <x v="195"/>
    <x v="4"/>
    <n v="5000"/>
    <n v="4.0599999999999996"/>
    <x v="6"/>
    <n v="880"/>
    <x v="2"/>
    <x v="0"/>
    <x v="0"/>
    <x v="3"/>
  </r>
  <r>
    <s v="CLI-1247"/>
    <x v="164"/>
    <x v="4"/>
    <n v="80000"/>
    <n v="3.76"/>
    <x v="5"/>
    <n v="867"/>
    <x v="2"/>
    <x v="0"/>
    <x v="3"/>
    <x v="1"/>
  </r>
  <r>
    <s v="CLI-1248"/>
    <x v="196"/>
    <x v="3"/>
    <n v="80000"/>
    <n v="1.44"/>
    <x v="1"/>
    <n v="765"/>
    <x v="2"/>
    <x v="2"/>
    <x v="3"/>
    <x v="3"/>
  </r>
  <r>
    <s v="CLI-1249"/>
    <x v="197"/>
    <x v="3"/>
    <n v="80000"/>
    <n v="2.67"/>
    <x v="0"/>
    <n v="812"/>
    <x v="2"/>
    <x v="2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E102B-0086-4DDF-A2C8-76D81CB650D3}" name="Tabela dinâmica4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4:B20" firstHeaderRow="1" firstDataRow="1" firstDataCol="1" rowPageCount="1" colPageCount="1"/>
  <pivotFields count="14">
    <pivotField showAll="0"/>
    <pivotField numFmtId="14" showAll="0">
      <items count="318">
        <item x="173"/>
        <item x="137"/>
        <item m="1" x="278"/>
        <item m="1" x="307"/>
        <item m="1" x="277"/>
        <item x="171"/>
        <item m="1" x="211"/>
        <item m="1" x="259"/>
        <item x="49"/>
        <item m="1" x="225"/>
        <item m="1" x="216"/>
        <item m="1" x="296"/>
        <item x="86"/>
        <item x="68"/>
        <item m="1" x="229"/>
        <item m="1" x="235"/>
        <item m="1" x="275"/>
        <item x="0"/>
        <item m="1" x="290"/>
        <item m="1" x="223"/>
        <item m="1" x="256"/>
        <item m="1" x="263"/>
        <item m="1" x="222"/>
        <item m="1" x="221"/>
        <item x="92"/>
        <item m="1" x="218"/>
        <item x="55"/>
        <item m="1" x="202"/>
        <item x="18"/>
        <item m="1" x="226"/>
        <item m="1" x="312"/>
        <item m="1" x="245"/>
        <item x="147"/>
        <item m="1" x="314"/>
        <item x="34"/>
        <item m="1" x="257"/>
        <item m="1" x="261"/>
        <item m="1" x="302"/>
        <item x="30"/>
        <item x="98"/>
        <item x="166"/>
        <item x="149"/>
        <item x="37"/>
        <item m="1" x="276"/>
        <item m="1" x="288"/>
        <item m="1" x="238"/>
        <item x="50"/>
        <item x="143"/>
        <item m="1" x="254"/>
        <item m="1" x="224"/>
        <item x="45"/>
        <item m="1" x="208"/>
        <item m="1" x="205"/>
        <item m="1" x="292"/>
        <item x="172"/>
        <item x="141"/>
        <item m="1" x="219"/>
        <item x="186"/>
        <item m="1" x="267"/>
        <item x="112"/>
        <item m="1" x="284"/>
        <item m="1" x="203"/>
        <item x="72"/>
        <item x="65"/>
        <item x="148"/>
        <item m="1" x="285"/>
        <item x="19"/>
        <item x="187"/>
        <item x="66"/>
        <item x="15"/>
        <item m="1" x="217"/>
        <item x="22"/>
        <item x="82"/>
        <item m="1" x="260"/>
        <item m="1" x="213"/>
        <item m="1" x="268"/>
        <item x="177"/>
        <item m="1" x="279"/>
        <item x="47"/>
        <item m="1" x="291"/>
        <item x="4"/>
        <item m="1" x="280"/>
        <item m="1" x="228"/>
        <item m="1" x="305"/>
        <item x="180"/>
        <item m="1" x="240"/>
        <item m="1" x="270"/>
        <item m="1" x="248"/>
        <item x="104"/>
        <item x="97"/>
        <item m="1" x="227"/>
        <item m="1" x="243"/>
        <item m="1" x="250"/>
        <item x="27"/>
        <item x="195"/>
        <item m="1" x="210"/>
        <item m="1" x="241"/>
        <item m="1" x="295"/>
        <item x="127"/>
        <item m="1" x="236"/>
        <item m="1" x="273"/>
        <item m="1" x="310"/>
        <item m="1" x="315"/>
        <item x="23"/>
        <item m="1" x="255"/>
        <item x="26"/>
        <item m="1" x="308"/>
        <item m="1" x="246"/>
        <item m="1" x="313"/>
        <item m="1" x="311"/>
        <item m="1" x="239"/>
        <item m="1" x="244"/>
        <item m="1" x="262"/>
        <item m="1" x="249"/>
        <item x="48"/>
        <item m="1" x="233"/>
        <item m="1" x="247"/>
        <item m="1" x="299"/>
        <item m="1" x="214"/>
        <item m="1" x="294"/>
        <item m="1" x="289"/>
        <item x="120"/>
        <item m="1" x="209"/>
        <item m="1" x="199"/>
        <item m="1" x="303"/>
        <item x="109"/>
        <item m="1" x="265"/>
        <item m="1" x="272"/>
        <item m="1" x="204"/>
        <item m="1" x="198"/>
        <item m="1" x="300"/>
        <item m="1" x="207"/>
        <item m="1" x="234"/>
        <item m="1" x="281"/>
        <item m="1" x="237"/>
        <item x="125"/>
        <item m="1" x="201"/>
        <item x="42"/>
        <item m="1" x="271"/>
        <item m="1" x="293"/>
        <item x="196"/>
        <item x="84"/>
        <item m="1" x="283"/>
        <item x="9"/>
        <item x="185"/>
        <item m="1" x="251"/>
        <item x="105"/>
        <item m="1" x="266"/>
        <item m="1" x="200"/>
        <item m="1" x="316"/>
        <item m="1" x="242"/>
        <item m="1" x="215"/>
        <item m="1" x="231"/>
        <item m="1" x="304"/>
        <item x="40"/>
        <item x="12"/>
        <item x="25"/>
        <item x="62"/>
        <item m="1" x="232"/>
        <item x="135"/>
        <item x="188"/>
        <item x="121"/>
        <item x="85"/>
        <item x="2"/>
        <item x="36"/>
        <item m="1" x="264"/>
        <item m="1" x="286"/>
        <item x="152"/>
        <item m="1" x="212"/>
        <item m="1" x="252"/>
        <item x="123"/>
        <item m="1" x="258"/>
        <item m="1" x="297"/>
        <item x="87"/>
        <item x="151"/>
        <item m="1" x="220"/>
        <item m="1" x="301"/>
        <item x="24"/>
        <item x="167"/>
        <item x="28"/>
        <item m="1" x="230"/>
        <item x="129"/>
        <item x="145"/>
        <item m="1" x="306"/>
        <item x="116"/>
        <item m="1" x="309"/>
        <item m="1" x="269"/>
        <item m="1" x="298"/>
        <item x="89"/>
        <item m="1" x="253"/>
        <item m="1" x="274"/>
        <item m="1" x="282"/>
        <item m="1" x="206"/>
        <item m="1" x="287"/>
        <item x="1"/>
        <item x="3"/>
        <item x="5"/>
        <item x="6"/>
        <item x="7"/>
        <item x="8"/>
        <item x="10"/>
        <item x="11"/>
        <item x="13"/>
        <item x="14"/>
        <item x="16"/>
        <item x="17"/>
        <item x="20"/>
        <item x="21"/>
        <item x="29"/>
        <item x="31"/>
        <item x="32"/>
        <item x="33"/>
        <item x="35"/>
        <item x="38"/>
        <item x="39"/>
        <item x="41"/>
        <item x="43"/>
        <item x="44"/>
        <item x="46"/>
        <item x="51"/>
        <item x="52"/>
        <item x="53"/>
        <item x="54"/>
        <item x="56"/>
        <item x="57"/>
        <item x="58"/>
        <item x="59"/>
        <item x="60"/>
        <item x="61"/>
        <item x="63"/>
        <item x="64"/>
        <item x="67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3"/>
        <item x="88"/>
        <item x="90"/>
        <item x="91"/>
        <item x="93"/>
        <item x="94"/>
        <item x="95"/>
        <item x="96"/>
        <item x="99"/>
        <item x="100"/>
        <item x="101"/>
        <item x="102"/>
        <item x="103"/>
        <item x="106"/>
        <item x="107"/>
        <item x="108"/>
        <item x="110"/>
        <item x="111"/>
        <item x="113"/>
        <item x="114"/>
        <item x="115"/>
        <item x="117"/>
        <item x="118"/>
        <item x="119"/>
        <item x="122"/>
        <item x="124"/>
        <item x="126"/>
        <item x="128"/>
        <item x="130"/>
        <item x="131"/>
        <item x="132"/>
        <item x="133"/>
        <item x="134"/>
        <item x="136"/>
        <item x="138"/>
        <item x="139"/>
        <item x="140"/>
        <item x="142"/>
        <item x="144"/>
        <item x="146"/>
        <item x="150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4"/>
        <item x="175"/>
        <item x="176"/>
        <item x="178"/>
        <item x="179"/>
        <item x="181"/>
        <item x="182"/>
        <item x="183"/>
        <item x="184"/>
        <item x="189"/>
        <item x="190"/>
        <item x="191"/>
        <item x="192"/>
        <item x="193"/>
        <item x="194"/>
        <item x="197"/>
        <item t="default"/>
      </items>
    </pivotField>
    <pivotField showAll="0"/>
    <pivotField dataField="1" numFmtId="164" showAll="0"/>
    <pivotField numFmtId="43" showAll="0"/>
    <pivotField showAll="0"/>
    <pivotField showAll="0"/>
    <pivotField axis="axisPage" showAll="0">
      <items count="4">
        <item x="1"/>
        <item x="2"/>
        <item x="0"/>
        <item t="default"/>
      </items>
    </pivotField>
    <pivotField showAll="0"/>
    <pivotField showAll="0"/>
    <pivotField axis="axisRow" showAll="0">
      <items count="6">
        <item x="1"/>
        <item x="3"/>
        <item x="2"/>
        <item x="4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7" item="1" hier="-1"/>
  </pageFields>
  <dataFields count="1">
    <dataField name="Soma de VALOR EMPRESTADO" fld="3" baseField="10" baseItem="0" numFmtId="164"/>
  </dataFields>
  <formats count="1">
    <format dxfId="2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722CF2-B0E0-4829-8120-B5F5D166819A}" name="Tabela dinâmica3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:H9" firstHeaderRow="1" firstDataRow="1" firstDataCol="1" rowPageCount="1" colPageCount="1"/>
  <pivotFields count="14">
    <pivotField dataField="1" showAll="0"/>
    <pivotField numFmtId="14" showAll="0">
      <items count="318">
        <item x="173"/>
        <item x="137"/>
        <item m="1" x="278"/>
        <item m="1" x="307"/>
        <item m="1" x="277"/>
        <item x="171"/>
        <item m="1" x="211"/>
        <item m="1" x="259"/>
        <item x="49"/>
        <item m="1" x="225"/>
        <item m="1" x="216"/>
        <item m="1" x="296"/>
        <item x="86"/>
        <item x="68"/>
        <item m="1" x="229"/>
        <item m="1" x="235"/>
        <item m="1" x="275"/>
        <item x="0"/>
        <item m="1" x="290"/>
        <item m="1" x="223"/>
        <item m="1" x="256"/>
        <item m="1" x="263"/>
        <item m="1" x="222"/>
        <item m="1" x="221"/>
        <item x="92"/>
        <item m="1" x="218"/>
        <item x="55"/>
        <item m="1" x="202"/>
        <item x="18"/>
        <item m="1" x="226"/>
        <item m="1" x="312"/>
        <item m="1" x="245"/>
        <item x="147"/>
        <item m="1" x="314"/>
        <item x="34"/>
        <item m="1" x="257"/>
        <item m="1" x="261"/>
        <item m="1" x="302"/>
        <item x="30"/>
        <item x="98"/>
        <item x="166"/>
        <item x="149"/>
        <item x="37"/>
        <item m="1" x="276"/>
        <item m="1" x="288"/>
        <item m="1" x="238"/>
        <item x="50"/>
        <item x="143"/>
        <item m="1" x="254"/>
        <item m="1" x="224"/>
        <item x="45"/>
        <item m="1" x="208"/>
        <item m="1" x="205"/>
        <item m="1" x="292"/>
        <item x="172"/>
        <item x="141"/>
        <item m="1" x="219"/>
        <item x="186"/>
        <item m="1" x="267"/>
        <item x="112"/>
        <item m="1" x="284"/>
        <item m="1" x="203"/>
        <item x="72"/>
        <item x="65"/>
        <item x="148"/>
        <item m="1" x="285"/>
        <item x="19"/>
        <item x="187"/>
        <item x="66"/>
        <item x="15"/>
        <item m="1" x="217"/>
        <item x="22"/>
        <item x="82"/>
        <item m="1" x="260"/>
        <item m="1" x="213"/>
        <item m="1" x="268"/>
        <item x="177"/>
        <item m="1" x="279"/>
        <item x="47"/>
        <item m="1" x="291"/>
        <item x="4"/>
        <item m="1" x="280"/>
        <item m="1" x="228"/>
        <item m="1" x="305"/>
        <item x="180"/>
        <item m="1" x="240"/>
        <item m="1" x="270"/>
        <item m="1" x="248"/>
        <item x="104"/>
        <item x="97"/>
        <item m="1" x="227"/>
        <item m="1" x="243"/>
        <item m="1" x="250"/>
        <item x="27"/>
        <item x="195"/>
        <item m="1" x="210"/>
        <item m="1" x="241"/>
        <item m="1" x="295"/>
        <item x="127"/>
        <item m="1" x="236"/>
        <item m="1" x="273"/>
        <item m="1" x="310"/>
        <item m="1" x="315"/>
        <item x="23"/>
        <item m="1" x="255"/>
        <item x="26"/>
        <item m="1" x="308"/>
        <item m="1" x="246"/>
        <item m="1" x="313"/>
        <item m="1" x="311"/>
        <item m="1" x="239"/>
        <item m="1" x="244"/>
        <item m="1" x="262"/>
        <item m="1" x="249"/>
        <item x="48"/>
        <item m="1" x="233"/>
        <item m="1" x="247"/>
        <item m="1" x="299"/>
        <item m="1" x="214"/>
        <item m="1" x="294"/>
        <item m="1" x="289"/>
        <item x="120"/>
        <item m="1" x="209"/>
        <item m="1" x="199"/>
        <item m="1" x="303"/>
        <item x="109"/>
        <item m="1" x="265"/>
        <item m="1" x="272"/>
        <item m="1" x="204"/>
        <item m="1" x="198"/>
        <item m="1" x="300"/>
        <item m="1" x="207"/>
        <item m="1" x="234"/>
        <item m="1" x="281"/>
        <item m="1" x="237"/>
        <item x="125"/>
        <item m="1" x="201"/>
        <item x="42"/>
        <item m="1" x="271"/>
        <item m="1" x="293"/>
        <item x="196"/>
        <item x="84"/>
        <item m="1" x="283"/>
        <item x="9"/>
        <item x="185"/>
        <item m="1" x="251"/>
        <item x="105"/>
        <item m="1" x="266"/>
        <item m="1" x="200"/>
        <item m="1" x="316"/>
        <item m="1" x="242"/>
        <item m="1" x="215"/>
        <item m="1" x="231"/>
        <item m="1" x="304"/>
        <item x="40"/>
        <item x="12"/>
        <item x="25"/>
        <item x="62"/>
        <item m="1" x="232"/>
        <item x="135"/>
        <item x="188"/>
        <item x="121"/>
        <item x="85"/>
        <item x="2"/>
        <item x="36"/>
        <item m="1" x="264"/>
        <item m="1" x="286"/>
        <item x="152"/>
        <item m="1" x="212"/>
        <item m="1" x="252"/>
        <item x="123"/>
        <item m="1" x="258"/>
        <item m="1" x="297"/>
        <item x="87"/>
        <item x="151"/>
        <item m="1" x="220"/>
        <item m="1" x="301"/>
        <item x="24"/>
        <item x="167"/>
        <item x="28"/>
        <item m="1" x="230"/>
        <item x="129"/>
        <item x="145"/>
        <item m="1" x="306"/>
        <item x="116"/>
        <item m="1" x="309"/>
        <item m="1" x="269"/>
        <item m="1" x="298"/>
        <item x="89"/>
        <item m="1" x="253"/>
        <item m="1" x="274"/>
        <item m="1" x="282"/>
        <item m="1" x="206"/>
        <item m="1" x="287"/>
        <item x="1"/>
        <item x="3"/>
        <item x="5"/>
        <item x="6"/>
        <item x="7"/>
        <item x="8"/>
        <item x="10"/>
        <item x="11"/>
        <item x="13"/>
        <item x="14"/>
        <item x="16"/>
        <item x="17"/>
        <item x="20"/>
        <item x="21"/>
        <item x="29"/>
        <item x="31"/>
        <item x="32"/>
        <item x="33"/>
        <item x="35"/>
        <item x="38"/>
        <item x="39"/>
        <item x="41"/>
        <item x="43"/>
        <item x="44"/>
        <item x="46"/>
        <item x="51"/>
        <item x="52"/>
        <item x="53"/>
        <item x="54"/>
        <item x="56"/>
        <item x="57"/>
        <item x="58"/>
        <item x="59"/>
        <item x="60"/>
        <item x="61"/>
        <item x="63"/>
        <item x="64"/>
        <item x="67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3"/>
        <item x="88"/>
        <item x="90"/>
        <item x="91"/>
        <item x="93"/>
        <item x="94"/>
        <item x="95"/>
        <item x="96"/>
        <item x="99"/>
        <item x="100"/>
        <item x="101"/>
        <item x="102"/>
        <item x="103"/>
        <item x="106"/>
        <item x="107"/>
        <item x="108"/>
        <item x="110"/>
        <item x="111"/>
        <item x="113"/>
        <item x="114"/>
        <item x="115"/>
        <item x="117"/>
        <item x="118"/>
        <item x="119"/>
        <item x="122"/>
        <item x="124"/>
        <item x="126"/>
        <item x="128"/>
        <item x="130"/>
        <item x="131"/>
        <item x="132"/>
        <item x="133"/>
        <item x="134"/>
        <item x="136"/>
        <item x="138"/>
        <item x="139"/>
        <item x="140"/>
        <item x="142"/>
        <item x="144"/>
        <item x="146"/>
        <item x="150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4"/>
        <item x="175"/>
        <item x="176"/>
        <item x="178"/>
        <item x="179"/>
        <item x="181"/>
        <item x="182"/>
        <item x="183"/>
        <item x="184"/>
        <item x="189"/>
        <item x="190"/>
        <item x="191"/>
        <item x="192"/>
        <item x="193"/>
        <item x="194"/>
        <item x="197"/>
        <item t="default"/>
      </items>
    </pivotField>
    <pivotField axis="axisRow" showAll="0">
      <items count="6">
        <item x="2"/>
        <item x="1"/>
        <item x="4"/>
        <item x="3"/>
        <item x="0"/>
        <item t="default"/>
      </items>
    </pivotField>
    <pivotField numFmtId="164" showAll="0"/>
    <pivotField numFmtId="43" showAll="0"/>
    <pivotField showAll="0"/>
    <pivotField showAll="0"/>
    <pivotField showAll="0"/>
    <pivotField axis="axisPage" multipleItemSelectionAllowed="1" showAll="0">
      <items count="5">
        <item h="1" x="0"/>
        <item h="1" x="1"/>
        <item x="2"/>
        <item h="1" x="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8" hier="-1"/>
  </pageFields>
  <dataFields count="1">
    <dataField name="Contagem de ID CLIENT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EF89D8-D1E3-422B-BA81-D1AB937D01D9}" name="Tabela dinâ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14">
    <pivotField showAll="0"/>
    <pivotField numFmtId="14" showAll="0">
      <items count="318">
        <item x="173"/>
        <item x="137"/>
        <item m="1" x="278"/>
        <item m="1" x="307"/>
        <item m="1" x="277"/>
        <item x="171"/>
        <item m="1" x="211"/>
        <item m="1" x="259"/>
        <item x="49"/>
        <item m="1" x="225"/>
        <item m="1" x="216"/>
        <item m="1" x="296"/>
        <item x="86"/>
        <item x="68"/>
        <item m="1" x="229"/>
        <item m="1" x="235"/>
        <item m="1" x="275"/>
        <item x="0"/>
        <item m="1" x="290"/>
        <item m="1" x="223"/>
        <item m="1" x="256"/>
        <item m="1" x="263"/>
        <item m="1" x="222"/>
        <item m="1" x="221"/>
        <item x="92"/>
        <item m="1" x="218"/>
        <item x="55"/>
        <item m="1" x="202"/>
        <item x="18"/>
        <item m="1" x="226"/>
        <item m="1" x="312"/>
        <item m="1" x="245"/>
        <item x="147"/>
        <item m="1" x="314"/>
        <item x="34"/>
        <item m="1" x="257"/>
        <item m="1" x="261"/>
        <item m="1" x="302"/>
        <item x="30"/>
        <item x="98"/>
        <item x="166"/>
        <item x="149"/>
        <item x="37"/>
        <item m="1" x="276"/>
        <item m="1" x="288"/>
        <item m="1" x="238"/>
        <item x="50"/>
        <item x="143"/>
        <item m="1" x="254"/>
        <item m="1" x="224"/>
        <item x="45"/>
        <item m="1" x="208"/>
        <item m="1" x="205"/>
        <item m="1" x="292"/>
        <item x="172"/>
        <item x="141"/>
        <item m="1" x="219"/>
        <item x="186"/>
        <item m="1" x="267"/>
        <item x="112"/>
        <item m="1" x="284"/>
        <item m="1" x="203"/>
        <item x="72"/>
        <item x="65"/>
        <item x="148"/>
        <item m="1" x="285"/>
        <item x="19"/>
        <item x="187"/>
        <item x="66"/>
        <item x="15"/>
        <item m="1" x="217"/>
        <item x="22"/>
        <item x="82"/>
        <item m="1" x="260"/>
        <item m="1" x="213"/>
        <item m="1" x="268"/>
        <item x="177"/>
        <item m="1" x="279"/>
        <item x="47"/>
        <item m="1" x="291"/>
        <item x="4"/>
        <item m="1" x="280"/>
        <item m="1" x="228"/>
        <item m="1" x="305"/>
        <item x="180"/>
        <item m="1" x="240"/>
        <item m="1" x="270"/>
        <item m="1" x="248"/>
        <item x="104"/>
        <item x="97"/>
        <item m="1" x="227"/>
        <item m="1" x="243"/>
        <item m="1" x="250"/>
        <item x="27"/>
        <item x="195"/>
        <item m="1" x="210"/>
        <item m="1" x="241"/>
        <item m="1" x="295"/>
        <item x="127"/>
        <item m="1" x="236"/>
        <item m="1" x="273"/>
        <item m="1" x="310"/>
        <item m="1" x="315"/>
        <item x="23"/>
        <item m="1" x="255"/>
        <item x="26"/>
        <item m="1" x="308"/>
        <item m="1" x="246"/>
        <item m="1" x="313"/>
        <item m="1" x="311"/>
        <item m="1" x="239"/>
        <item m="1" x="244"/>
        <item m="1" x="262"/>
        <item m="1" x="249"/>
        <item x="48"/>
        <item m="1" x="233"/>
        <item m="1" x="247"/>
        <item m="1" x="299"/>
        <item m="1" x="214"/>
        <item m="1" x="294"/>
        <item m="1" x="289"/>
        <item x="120"/>
        <item m="1" x="209"/>
        <item m="1" x="199"/>
        <item m="1" x="303"/>
        <item x="109"/>
        <item m="1" x="265"/>
        <item m="1" x="272"/>
        <item m="1" x="204"/>
        <item m="1" x="198"/>
        <item m="1" x="300"/>
        <item m="1" x="207"/>
        <item m="1" x="234"/>
        <item m="1" x="281"/>
        <item m="1" x="237"/>
        <item x="125"/>
        <item m="1" x="201"/>
        <item x="42"/>
        <item m="1" x="271"/>
        <item m="1" x="293"/>
        <item x="196"/>
        <item x="84"/>
        <item m="1" x="283"/>
        <item x="9"/>
        <item x="185"/>
        <item m="1" x="251"/>
        <item x="105"/>
        <item m="1" x="266"/>
        <item m="1" x="200"/>
        <item m="1" x="316"/>
        <item m="1" x="242"/>
        <item m="1" x="215"/>
        <item m="1" x="231"/>
        <item m="1" x="304"/>
        <item x="40"/>
        <item x="12"/>
        <item x="25"/>
        <item x="62"/>
        <item m="1" x="232"/>
        <item x="135"/>
        <item x="188"/>
        <item x="121"/>
        <item x="85"/>
        <item x="2"/>
        <item x="36"/>
        <item m="1" x="264"/>
        <item m="1" x="286"/>
        <item x="152"/>
        <item m="1" x="212"/>
        <item m="1" x="252"/>
        <item x="123"/>
        <item m="1" x="258"/>
        <item m="1" x="297"/>
        <item x="87"/>
        <item x="151"/>
        <item m="1" x="220"/>
        <item m="1" x="301"/>
        <item x="24"/>
        <item x="167"/>
        <item x="28"/>
        <item m="1" x="230"/>
        <item x="129"/>
        <item x="145"/>
        <item m="1" x="306"/>
        <item x="116"/>
        <item m="1" x="309"/>
        <item m="1" x="269"/>
        <item m="1" x="298"/>
        <item x="89"/>
        <item m="1" x="253"/>
        <item m="1" x="274"/>
        <item m="1" x="282"/>
        <item m="1" x="206"/>
        <item m="1" x="287"/>
        <item x="1"/>
        <item x="3"/>
        <item x="5"/>
        <item x="6"/>
        <item x="7"/>
        <item x="8"/>
        <item x="10"/>
        <item x="11"/>
        <item x="13"/>
        <item x="14"/>
        <item x="16"/>
        <item x="17"/>
        <item x="20"/>
        <item x="21"/>
        <item x="29"/>
        <item x="31"/>
        <item x="32"/>
        <item x="33"/>
        <item x="35"/>
        <item x="38"/>
        <item x="39"/>
        <item x="41"/>
        <item x="43"/>
        <item x="44"/>
        <item x="46"/>
        <item x="51"/>
        <item x="52"/>
        <item x="53"/>
        <item x="54"/>
        <item x="56"/>
        <item x="57"/>
        <item x="58"/>
        <item x="59"/>
        <item x="60"/>
        <item x="61"/>
        <item x="63"/>
        <item x="64"/>
        <item x="67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3"/>
        <item x="88"/>
        <item x="90"/>
        <item x="91"/>
        <item x="93"/>
        <item x="94"/>
        <item x="95"/>
        <item x="96"/>
        <item x="99"/>
        <item x="100"/>
        <item x="101"/>
        <item x="102"/>
        <item x="103"/>
        <item x="106"/>
        <item x="107"/>
        <item x="108"/>
        <item x="110"/>
        <item x="111"/>
        <item x="113"/>
        <item x="114"/>
        <item x="115"/>
        <item x="117"/>
        <item x="118"/>
        <item x="119"/>
        <item x="122"/>
        <item x="124"/>
        <item x="126"/>
        <item x="128"/>
        <item x="130"/>
        <item x="131"/>
        <item x="132"/>
        <item x="133"/>
        <item x="134"/>
        <item x="136"/>
        <item x="138"/>
        <item x="139"/>
        <item x="140"/>
        <item x="142"/>
        <item x="144"/>
        <item x="146"/>
        <item x="150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4"/>
        <item x="175"/>
        <item x="176"/>
        <item x="178"/>
        <item x="179"/>
        <item x="181"/>
        <item x="182"/>
        <item x="183"/>
        <item x="184"/>
        <item x="189"/>
        <item x="190"/>
        <item x="191"/>
        <item x="192"/>
        <item x="193"/>
        <item x="194"/>
        <item x="197"/>
        <item t="default"/>
      </items>
    </pivotField>
    <pivotField showAll="0"/>
    <pivotField dataField="1" numFmtId="164" showAll="0"/>
    <pivotField numFmtId="43"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EMPRESTADO" fld="3" baseField="0" baseItem="0"/>
  </dataFields>
  <formats count="2">
    <format dxfId="30">
      <pivotArea collapsedLevelsAreSubtotals="1" fieldPosition="0">
        <references count="1">
          <reference field="7" count="0"/>
        </references>
      </pivotArea>
    </format>
    <format dxfId="3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F904C-B5F8-401F-97D0-88627EBA838A}" name="Tabela dinâmica6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26:D27" firstHeaderRow="0" firstDataRow="1" firstDataCol="0" rowPageCount="1" colPageCount="1"/>
  <pivotFields count="14">
    <pivotField dataField="1" showAll="0" countASubtotal="1"/>
    <pivotField numFmtId="14" showAll="0">
      <items count="318">
        <item x="173"/>
        <item x="137"/>
        <item m="1" x="278"/>
        <item m="1" x="307"/>
        <item m="1" x="277"/>
        <item x="171"/>
        <item m="1" x="211"/>
        <item m="1" x="259"/>
        <item x="49"/>
        <item m="1" x="225"/>
        <item m="1" x="216"/>
        <item m="1" x="296"/>
        <item x="86"/>
        <item x="68"/>
        <item m="1" x="229"/>
        <item m="1" x="235"/>
        <item m="1" x="275"/>
        <item x="0"/>
        <item m="1" x="290"/>
        <item m="1" x="223"/>
        <item m="1" x="256"/>
        <item m="1" x="263"/>
        <item m="1" x="222"/>
        <item m="1" x="221"/>
        <item x="92"/>
        <item m="1" x="218"/>
        <item x="55"/>
        <item m="1" x="202"/>
        <item x="18"/>
        <item m="1" x="226"/>
        <item m="1" x="312"/>
        <item m="1" x="245"/>
        <item x="147"/>
        <item m="1" x="314"/>
        <item x="34"/>
        <item m="1" x="257"/>
        <item m="1" x="261"/>
        <item m="1" x="302"/>
        <item x="30"/>
        <item x="98"/>
        <item x="166"/>
        <item x="149"/>
        <item x="37"/>
        <item m="1" x="276"/>
        <item m="1" x="288"/>
        <item m="1" x="238"/>
        <item x="50"/>
        <item x="143"/>
        <item m="1" x="254"/>
        <item m="1" x="224"/>
        <item x="45"/>
        <item m="1" x="208"/>
        <item m="1" x="205"/>
        <item m="1" x="292"/>
        <item x="172"/>
        <item x="141"/>
        <item m="1" x="219"/>
        <item x="186"/>
        <item m="1" x="267"/>
        <item x="112"/>
        <item m="1" x="284"/>
        <item m="1" x="203"/>
        <item x="72"/>
        <item x="65"/>
        <item x="148"/>
        <item m="1" x="285"/>
        <item x="19"/>
        <item x="187"/>
        <item x="66"/>
        <item x="15"/>
        <item m="1" x="217"/>
        <item x="22"/>
        <item x="82"/>
        <item m="1" x="260"/>
        <item m="1" x="213"/>
        <item m="1" x="268"/>
        <item x="177"/>
        <item m="1" x="279"/>
        <item x="47"/>
        <item m="1" x="291"/>
        <item x="4"/>
        <item m="1" x="280"/>
        <item m="1" x="228"/>
        <item m="1" x="305"/>
        <item x="180"/>
        <item m="1" x="240"/>
        <item m="1" x="270"/>
        <item m="1" x="248"/>
        <item x="104"/>
        <item x="97"/>
        <item m="1" x="227"/>
        <item m="1" x="243"/>
        <item m="1" x="250"/>
        <item x="27"/>
        <item x="195"/>
        <item m="1" x="210"/>
        <item m="1" x="241"/>
        <item m="1" x="295"/>
        <item x="127"/>
        <item m="1" x="236"/>
        <item m="1" x="273"/>
        <item m="1" x="310"/>
        <item m="1" x="315"/>
        <item x="23"/>
        <item m="1" x="255"/>
        <item x="26"/>
        <item m="1" x="308"/>
        <item m="1" x="246"/>
        <item m="1" x="313"/>
        <item m="1" x="311"/>
        <item m="1" x="239"/>
        <item m="1" x="244"/>
        <item m="1" x="262"/>
        <item m="1" x="249"/>
        <item x="48"/>
        <item m="1" x="233"/>
        <item m="1" x="247"/>
        <item m="1" x="299"/>
        <item m="1" x="214"/>
        <item m="1" x="294"/>
        <item m="1" x="289"/>
        <item x="120"/>
        <item m="1" x="209"/>
        <item m="1" x="199"/>
        <item m="1" x="303"/>
        <item x="109"/>
        <item m="1" x="265"/>
        <item m="1" x="272"/>
        <item m="1" x="204"/>
        <item m="1" x="198"/>
        <item m="1" x="300"/>
        <item m="1" x="207"/>
        <item m="1" x="234"/>
        <item m="1" x="281"/>
        <item m="1" x="237"/>
        <item x="125"/>
        <item m="1" x="201"/>
        <item x="42"/>
        <item m="1" x="271"/>
        <item m="1" x="293"/>
        <item x="196"/>
        <item x="84"/>
        <item m="1" x="283"/>
        <item x="9"/>
        <item x="185"/>
        <item m="1" x="251"/>
        <item x="105"/>
        <item m="1" x="266"/>
        <item m="1" x="200"/>
        <item m="1" x="316"/>
        <item m="1" x="242"/>
        <item m="1" x="215"/>
        <item m="1" x="231"/>
        <item m="1" x="304"/>
        <item x="40"/>
        <item x="12"/>
        <item x="25"/>
        <item x="62"/>
        <item m="1" x="232"/>
        <item x="135"/>
        <item x="188"/>
        <item x="121"/>
        <item x="85"/>
        <item x="2"/>
        <item x="36"/>
        <item m="1" x="264"/>
        <item m="1" x="286"/>
        <item x="152"/>
        <item m="1" x="212"/>
        <item m="1" x="252"/>
        <item x="123"/>
        <item m="1" x="258"/>
        <item m="1" x="297"/>
        <item x="87"/>
        <item x="151"/>
        <item m="1" x="220"/>
        <item m="1" x="301"/>
        <item x="24"/>
        <item x="167"/>
        <item x="28"/>
        <item m="1" x="230"/>
        <item x="129"/>
        <item x="145"/>
        <item m="1" x="306"/>
        <item x="116"/>
        <item m="1" x="309"/>
        <item m="1" x="269"/>
        <item m="1" x="298"/>
        <item x="89"/>
        <item m="1" x="253"/>
        <item m="1" x="274"/>
        <item m="1" x="282"/>
        <item m="1" x="206"/>
        <item m="1" x="287"/>
        <item x="1"/>
        <item x="3"/>
        <item x="5"/>
        <item x="6"/>
        <item x="7"/>
        <item x="8"/>
        <item x="10"/>
        <item x="11"/>
        <item x="13"/>
        <item x="14"/>
        <item x="16"/>
        <item x="17"/>
        <item x="20"/>
        <item x="21"/>
        <item x="29"/>
        <item x="31"/>
        <item x="32"/>
        <item x="33"/>
        <item x="35"/>
        <item x="38"/>
        <item x="39"/>
        <item x="41"/>
        <item x="43"/>
        <item x="44"/>
        <item x="46"/>
        <item x="51"/>
        <item x="52"/>
        <item x="53"/>
        <item x="54"/>
        <item x="56"/>
        <item x="57"/>
        <item x="58"/>
        <item x="59"/>
        <item x="60"/>
        <item x="61"/>
        <item x="63"/>
        <item x="64"/>
        <item x="67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3"/>
        <item x="88"/>
        <item x="90"/>
        <item x="91"/>
        <item x="93"/>
        <item x="94"/>
        <item x="95"/>
        <item x="96"/>
        <item x="99"/>
        <item x="100"/>
        <item x="101"/>
        <item x="102"/>
        <item x="103"/>
        <item x="106"/>
        <item x="107"/>
        <item x="108"/>
        <item x="110"/>
        <item x="111"/>
        <item x="113"/>
        <item x="114"/>
        <item x="115"/>
        <item x="117"/>
        <item x="118"/>
        <item x="119"/>
        <item x="122"/>
        <item x="124"/>
        <item x="126"/>
        <item x="128"/>
        <item x="130"/>
        <item x="131"/>
        <item x="132"/>
        <item x="133"/>
        <item x="134"/>
        <item x="136"/>
        <item x="138"/>
        <item x="139"/>
        <item x="140"/>
        <item x="142"/>
        <item x="144"/>
        <item x="146"/>
        <item x="150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4"/>
        <item x="175"/>
        <item x="176"/>
        <item x="178"/>
        <item x="179"/>
        <item x="181"/>
        <item x="182"/>
        <item x="183"/>
        <item x="184"/>
        <item x="189"/>
        <item x="190"/>
        <item x="191"/>
        <item x="192"/>
        <item x="193"/>
        <item x="194"/>
        <item x="197"/>
        <item t="default"/>
      </items>
    </pivotField>
    <pivotField showAll="0"/>
    <pivotField dataField="1" numFmtId="164" showAll="0"/>
    <pivotField numFmtId="43" showAll="0"/>
    <pivotField showAll="0"/>
    <pivotField showAll="0"/>
    <pivotField showAll="0"/>
    <pivotField axis="axisPage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5">
        <item sd="0" x="1"/>
        <item sd="0" x="2"/>
        <item x="0"/>
        <item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8" item="1" hier="-1"/>
  </pageFields>
  <dataFields count="2">
    <dataField name="Contagem de ID CLIENTE" fld="0" subtotal="count" baseField="0" baseItem="0"/>
    <dataField name="Soma de VALOR EMPRESTADO" fld="3" baseField="0" baseItem="0" numFmtId="164"/>
  </dataFields>
  <formats count="1">
    <format dxfId="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AEA41E-D1A0-45A6-9FAC-50C9DA9DEAA7}" name="Tabela dinâmica5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14:H20" firstHeaderRow="1" firstDataRow="1" firstDataCol="1" rowPageCount="1" colPageCount="1"/>
  <pivotFields count="14">
    <pivotField showAll="0"/>
    <pivotField numFmtId="14" showAll="0">
      <items count="318">
        <item x="173"/>
        <item x="137"/>
        <item m="1" x="278"/>
        <item m="1" x="307"/>
        <item m="1" x="277"/>
        <item x="171"/>
        <item m="1" x="211"/>
        <item m="1" x="259"/>
        <item x="49"/>
        <item m="1" x="225"/>
        <item m="1" x="216"/>
        <item m="1" x="296"/>
        <item x="86"/>
        <item x="68"/>
        <item m="1" x="229"/>
        <item m="1" x="235"/>
        <item m="1" x="275"/>
        <item x="0"/>
        <item m="1" x="290"/>
        <item m="1" x="223"/>
        <item m="1" x="256"/>
        <item m="1" x="263"/>
        <item m="1" x="222"/>
        <item m="1" x="221"/>
        <item x="92"/>
        <item m="1" x="218"/>
        <item x="55"/>
        <item m="1" x="202"/>
        <item x="18"/>
        <item m="1" x="226"/>
        <item m="1" x="312"/>
        <item m="1" x="245"/>
        <item x="147"/>
        <item m="1" x="314"/>
        <item x="34"/>
        <item m="1" x="257"/>
        <item m="1" x="261"/>
        <item m="1" x="302"/>
        <item x="30"/>
        <item x="98"/>
        <item x="166"/>
        <item x="149"/>
        <item x="37"/>
        <item m="1" x="276"/>
        <item m="1" x="288"/>
        <item m="1" x="238"/>
        <item x="50"/>
        <item x="143"/>
        <item m="1" x="254"/>
        <item m="1" x="224"/>
        <item x="45"/>
        <item m="1" x="208"/>
        <item m="1" x="205"/>
        <item m="1" x="292"/>
        <item x="172"/>
        <item x="141"/>
        <item m="1" x="219"/>
        <item x="186"/>
        <item m="1" x="267"/>
        <item x="112"/>
        <item m="1" x="284"/>
        <item m="1" x="203"/>
        <item x="72"/>
        <item x="65"/>
        <item x="148"/>
        <item m="1" x="285"/>
        <item x="19"/>
        <item x="187"/>
        <item x="66"/>
        <item x="15"/>
        <item m="1" x="217"/>
        <item x="22"/>
        <item x="82"/>
        <item m="1" x="260"/>
        <item m="1" x="213"/>
        <item m="1" x="268"/>
        <item x="177"/>
        <item m="1" x="279"/>
        <item x="47"/>
        <item m="1" x="291"/>
        <item x="4"/>
        <item m="1" x="280"/>
        <item m="1" x="228"/>
        <item m="1" x="305"/>
        <item x="180"/>
        <item m="1" x="240"/>
        <item m="1" x="270"/>
        <item m="1" x="248"/>
        <item x="104"/>
        <item x="97"/>
        <item m="1" x="227"/>
        <item m="1" x="243"/>
        <item m="1" x="250"/>
        <item x="27"/>
        <item x="195"/>
        <item m="1" x="210"/>
        <item m="1" x="241"/>
        <item m="1" x="295"/>
        <item x="127"/>
        <item m="1" x="236"/>
        <item m="1" x="273"/>
        <item m="1" x="310"/>
        <item m="1" x="315"/>
        <item x="23"/>
        <item m="1" x="255"/>
        <item x="26"/>
        <item m="1" x="308"/>
        <item m="1" x="246"/>
        <item m="1" x="313"/>
        <item m="1" x="311"/>
        <item m="1" x="239"/>
        <item m="1" x="244"/>
        <item m="1" x="262"/>
        <item m="1" x="249"/>
        <item x="48"/>
        <item m="1" x="233"/>
        <item m="1" x="247"/>
        <item m="1" x="299"/>
        <item m="1" x="214"/>
        <item m="1" x="294"/>
        <item m="1" x="289"/>
        <item x="120"/>
        <item m="1" x="209"/>
        <item m="1" x="199"/>
        <item m="1" x="303"/>
        <item x="109"/>
        <item m="1" x="265"/>
        <item m="1" x="272"/>
        <item m="1" x="204"/>
        <item m="1" x="198"/>
        <item m="1" x="300"/>
        <item m="1" x="207"/>
        <item m="1" x="234"/>
        <item m="1" x="281"/>
        <item m="1" x="237"/>
        <item x="125"/>
        <item m="1" x="201"/>
        <item x="42"/>
        <item m="1" x="271"/>
        <item m="1" x="293"/>
        <item x="196"/>
        <item x="84"/>
        <item m="1" x="283"/>
        <item x="9"/>
        <item x="185"/>
        <item m="1" x="251"/>
        <item x="105"/>
        <item m="1" x="266"/>
        <item m="1" x="200"/>
        <item m="1" x="316"/>
        <item m="1" x="242"/>
        <item m="1" x="215"/>
        <item m="1" x="231"/>
        <item m="1" x="304"/>
        <item x="40"/>
        <item x="12"/>
        <item x="25"/>
        <item x="62"/>
        <item m="1" x="232"/>
        <item x="135"/>
        <item x="188"/>
        <item x="121"/>
        <item x="85"/>
        <item x="2"/>
        <item x="36"/>
        <item m="1" x="264"/>
        <item m="1" x="286"/>
        <item x="152"/>
        <item m="1" x="212"/>
        <item m="1" x="252"/>
        <item x="123"/>
        <item m="1" x="258"/>
        <item m="1" x="297"/>
        <item x="87"/>
        <item x="151"/>
        <item m="1" x="220"/>
        <item m="1" x="301"/>
        <item x="24"/>
        <item x="167"/>
        <item x="28"/>
        <item m="1" x="230"/>
        <item x="129"/>
        <item x="145"/>
        <item m="1" x="306"/>
        <item x="116"/>
        <item m="1" x="309"/>
        <item m="1" x="269"/>
        <item m="1" x="298"/>
        <item x="89"/>
        <item m="1" x="253"/>
        <item m="1" x="274"/>
        <item m="1" x="282"/>
        <item m="1" x="206"/>
        <item m="1" x="287"/>
        <item x="1"/>
        <item x="3"/>
        <item x="5"/>
        <item x="6"/>
        <item x="7"/>
        <item x="8"/>
        <item x="10"/>
        <item x="11"/>
        <item x="13"/>
        <item x="14"/>
        <item x="16"/>
        <item x="17"/>
        <item x="20"/>
        <item x="21"/>
        <item x="29"/>
        <item x="31"/>
        <item x="32"/>
        <item x="33"/>
        <item x="35"/>
        <item x="38"/>
        <item x="39"/>
        <item x="41"/>
        <item x="43"/>
        <item x="44"/>
        <item x="46"/>
        <item x="51"/>
        <item x="52"/>
        <item x="53"/>
        <item x="54"/>
        <item x="56"/>
        <item x="57"/>
        <item x="58"/>
        <item x="59"/>
        <item x="60"/>
        <item x="61"/>
        <item x="63"/>
        <item x="64"/>
        <item x="67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3"/>
        <item x="88"/>
        <item x="90"/>
        <item x="91"/>
        <item x="93"/>
        <item x="94"/>
        <item x="95"/>
        <item x="96"/>
        <item x="99"/>
        <item x="100"/>
        <item x="101"/>
        <item x="102"/>
        <item x="103"/>
        <item x="106"/>
        <item x="107"/>
        <item x="108"/>
        <item x="110"/>
        <item x="111"/>
        <item x="113"/>
        <item x="114"/>
        <item x="115"/>
        <item x="117"/>
        <item x="118"/>
        <item x="119"/>
        <item x="122"/>
        <item x="124"/>
        <item x="126"/>
        <item x="128"/>
        <item x="130"/>
        <item x="131"/>
        <item x="132"/>
        <item x="133"/>
        <item x="134"/>
        <item x="136"/>
        <item x="138"/>
        <item x="139"/>
        <item x="140"/>
        <item x="142"/>
        <item x="144"/>
        <item x="146"/>
        <item x="150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8"/>
        <item x="169"/>
        <item x="170"/>
        <item x="174"/>
        <item x="175"/>
        <item x="176"/>
        <item x="178"/>
        <item x="179"/>
        <item x="181"/>
        <item x="182"/>
        <item x="183"/>
        <item x="184"/>
        <item x="189"/>
        <item x="190"/>
        <item x="191"/>
        <item x="192"/>
        <item x="193"/>
        <item x="194"/>
        <item x="197"/>
        <item t="default"/>
      </items>
    </pivotField>
    <pivotField showAll="0"/>
    <pivotField dataField="1" numFmtId="164" showAll="0"/>
    <pivotField numFmtId="43" showAll="0"/>
    <pivotField axis="axisPage" showAll="0">
      <items count="8">
        <item x="1"/>
        <item x="6"/>
        <item x="0"/>
        <item x="4"/>
        <item x="2"/>
        <item x="5"/>
        <item x="3"/>
        <item t="default"/>
      </items>
    </pivotField>
    <pivotField showAll="0"/>
    <pivotField showAll="0"/>
    <pivotField showAll="0"/>
    <pivotField axis="axisRow" showAll="0">
      <items count="6">
        <item x="0"/>
        <item x="1"/>
        <item x="3"/>
        <item x="2"/>
        <item x="4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5" item="1" hier="-1"/>
  </pageFields>
  <dataFields count="1">
    <dataField name="Soma de VALOR EMPRESTADO" fld="3" baseField="0" baseItem="0" numFmtId="164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ISCO" xr10:uid="{C2690C5E-395C-4CBE-AC31-0A03900BEEAC}" sourceName="RISCO">
  <pivotTables>
    <pivotTable tabId="3" name="Tabela dinâmica4"/>
  </pivotTables>
  <data>
    <tabular pivotCacheId="71686686">
      <items count="3">
        <i x="1"/>
        <i x="2" s="1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696760C3-FECA-4889-9849-0EFCF95CB072}" sourceName="STATUS">
  <pivotTables>
    <pivotTable tabId="3" name="Tabela dinâmica3"/>
  </pivotTables>
  <data>
    <tabular pivotCacheId="71686686">
      <items count="4">
        <i x="0"/>
        <i x="1"/>
        <i x="2" s="1"/>
        <i x="3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C97B498F-EF06-47A2-B092-3FC947094EB5}" sourceName="STATUS">
  <pivotTables>
    <pivotTable tabId="3" name="Tabela dinâmica6"/>
  </pivotTables>
  <data>
    <tabular pivotCacheId="71686686">
      <items count="4">
        <i x="0"/>
        <i x="1" s="1"/>
        <i x="2"/>
        <i x="3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AZO_Meses" xr10:uid="{107B86C1-56AF-46CE-944C-9F43191A0371}" sourceName="PRAZO(Meses)">
  <pivotTables>
    <pivotTable tabId="3" name="Tabela dinâmica5"/>
  </pivotTables>
  <data>
    <tabular pivotCacheId="71686686">
      <items count="7">
        <i x="1"/>
        <i x="6" s="1"/>
        <i x="0"/>
        <i x="4"/>
        <i x="2"/>
        <i x="5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SCO" xr10:uid="{54AC0694-E07F-49AF-9E14-5DDA7D4DF8F4}" cache="SegmentaçãodeDados_RISCO" caption="RISCO" columnCount="3" showCaption="0" style="Estilo de Segmentação de Dados 4" rowHeight="257175"/>
  <slicer name="STATUS" xr10:uid="{5BDB73F0-83C7-4F12-814D-576BC99672B6}" cache="SegmentaçãodeDados_STATUS" caption="STATUS" columnCount="4" showCaption="0" style="Estilo de Segmentação de Dados 4" rowHeight="257175"/>
  <slicer name="STATUS 1" xr10:uid="{0F198A52-82D9-4846-BB64-7ABC847A651C}" cache="SegmentaçãodeDados_STATUS1" caption="STATUS" columnCount="4" showCaption="0" style="Estilo de Segmentação de Dados 4" rowHeight="257175"/>
  <slicer name="PRAZO(Meses)" xr10:uid="{70B19A2D-0021-48E8-B225-54F700F3CD69}" cache="SegmentaçãodeDados_PRAZO_Meses" caption="PRAZO(Meses)" columnCount="7" showCaption="0" style="Estilo de Segmentação de Dados 4" rowHeight="257175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CE299-A6FA-4C15-A0D2-AB7DC327C50B}">
  <dimension ref="A1:K251"/>
  <sheetViews>
    <sheetView workbookViewId="0">
      <selection activeCell="J1" sqref="J1"/>
    </sheetView>
  </sheetViews>
  <sheetFormatPr defaultRowHeight="15" x14ac:dyDescent="0.25"/>
  <cols>
    <col min="1" max="1" width="12.85546875" customWidth="1"/>
    <col min="2" max="2" width="15.5703125" customWidth="1"/>
    <col min="3" max="3" width="21.7109375" bestFit="1" customWidth="1"/>
    <col min="4" max="4" width="19.140625" bestFit="1" customWidth="1"/>
    <col min="5" max="5" width="10.140625" bestFit="1" customWidth="1"/>
    <col min="6" max="6" width="14" bestFit="1" customWidth="1"/>
    <col min="7" max="7" width="6.7109375" bestFit="1" customWidth="1"/>
    <col min="8" max="8" width="6.28515625" bestFit="1" customWidth="1"/>
    <col min="9" max="9" width="12.7109375" bestFit="1" customWidth="1"/>
    <col min="10" max="10" width="12.42578125" bestFit="1" customWidth="1"/>
    <col min="11" max="11" width="14.140625" bestFit="1" customWidth="1"/>
  </cols>
  <sheetData>
    <row r="1" spans="1:11" x14ac:dyDescent="0.25">
      <c r="A1" s="5" t="s">
        <v>0</v>
      </c>
      <c r="B1" s="6" t="s">
        <v>1</v>
      </c>
      <c r="C1" s="5" t="s">
        <v>2</v>
      </c>
      <c r="D1" s="6" t="s">
        <v>3</v>
      </c>
      <c r="E1" s="5" t="s">
        <v>4</v>
      </c>
      <c r="F1" s="6" t="s">
        <v>10</v>
      </c>
      <c r="G1" s="5" t="s">
        <v>5</v>
      </c>
      <c r="H1" s="6" t="s">
        <v>6</v>
      </c>
      <c r="I1" s="5" t="s">
        <v>7</v>
      </c>
      <c r="J1" s="6" t="s">
        <v>8</v>
      </c>
      <c r="K1" s="5" t="s">
        <v>9</v>
      </c>
    </row>
    <row r="2" spans="1:11" x14ac:dyDescent="0.25">
      <c r="A2" t="str">
        <f>"CLI-"&amp;ROW()+998</f>
        <v>CLI-1000</v>
      </c>
      <c r="B2" s="1">
        <f ca="1">TODAY()-RANDBETWEEN(1,500)</f>
        <v>46236</v>
      </c>
      <c r="C2" t="str">
        <f ca="1">CHOOSE(RANDBETWEEN(1,5),"Credito Pessoal","Financiamento Veiculo","Credito Consignado","Cartao de Credito","Credito Imobiliario")</f>
        <v>Credito Consignado</v>
      </c>
      <c r="D2" s="2">
        <f ca="1">CHOOSE(RANDBETWEEN(1,7),5000,12000,25000,45000,80000,150000,300000)</f>
        <v>300000</v>
      </c>
      <c r="E2" s="3">
        <f t="shared" ref="E2:E66" ca="1" si="0">RANDBETWEEN(60,450)/100</f>
        <v>3.54</v>
      </c>
      <c r="F2" s="4">
        <f ca="1">CHOOSE(RANDBETWEEN(1,7),12,24,36,48,60,120,360)</f>
        <v>24</v>
      </c>
      <c r="G2">
        <f ca="1">RANDBETWEEN(300,950)</f>
        <v>645</v>
      </c>
      <c r="H2" t="str">
        <f ca="1">IF(G2&gt;750,"Baixo",IF(G2&gt;600,"Medio","Alto"))</f>
        <v>Medio</v>
      </c>
      <c r="I2" t="str">
        <f ca="1">CHOOSE(RANDBETWEEN(1,7),"Em Dia","Em Dia","Em Dia","Em Dia","Atraso 30d","Atraso 60d","Inadimplente")</f>
        <v>Em Dia</v>
      </c>
      <c r="J2" t="str">
        <f ca="1">CHOOSE(RANDBETWEEN(1,5),"Sudeste","Sul","Nordeste","Centro-Oeste","Norte")</f>
        <v>Norte</v>
      </c>
      <c r="K2" t="str">
        <f ca="1">CHOOSE(RANDBETWEEN(1,5),"Ana Silva","Carlos Mendes","Joao Souza","Maria Lima","Pedro Costa")</f>
        <v>Ana Silva</v>
      </c>
    </row>
    <row r="3" spans="1:11" x14ac:dyDescent="0.25">
      <c r="A3" t="str">
        <f t="shared" ref="A3:A66" si="1">"CLI-"&amp;ROW()+998</f>
        <v>CLI-1001</v>
      </c>
      <c r="B3" s="1">
        <f t="shared" ref="B3:B66" ca="1" si="2">TODAY()-RANDBETWEEN(1,500)</f>
        <v>45891</v>
      </c>
      <c r="C3" t="str">
        <f t="shared" ref="C3:C66" ca="1" si="3">CHOOSE(RANDBETWEEN(1,5),"Credito Pessoal","Financiamento Veiculo","Credito Consignado","Cartao de Credito","Credito Imobiliario")</f>
        <v>Credito Pessoal</v>
      </c>
      <c r="D3" s="2">
        <f ca="1">CHOOSE(RANDBETWEEN(1,7),5000,12000,25000,45000,80000,150000,300000)</f>
        <v>45000</v>
      </c>
      <c r="E3" s="3">
        <f t="shared" ca="1" si="0"/>
        <v>3.53</v>
      </c>
      <c r="F3" s="4">
        <f t="shared" ref="F3:F66" ca="1" si="4">CHOOSE(RANDBETWEEN(1,7),12,24,36,48,60,120,360)</f>
        <v>48</v>
      </c>
      <c r="G3">
        <f t="shared" ref="G3:G66" ca="1" si="5">RANDBETWEEN(300,950)</f>
        <v>480</v>
      </c>
      <c r="H3" t="str">
        <f t="shared" ref="H3:H66" ca="1" si="6">IF(G3&gt;750,"Baixo",IF(G3&gt;600,"Medio","Alto"))</f>
        <v>Alto</v>
      </c>
      <c r="I3" t="str">
        <f t="shared" ref="I3:I66" ca="1" si="7">CHOOSE(RANDBETWEEN(1,7),"Em Dia","Em Dia","Em Dia","Em Dia","Atraso 30d","Atraso 60d","Inadimplente")</f>
        <v>Em Dia</v>
      </c>
      <c r="J3" t="str">
        <f t="shared" ref="J3:J66" ca="1" si="8">CHOOSE(RANDBETWEEN(1,5),"Sudeste","Sul","Nordeste","Centro-Oeste","Norte")</f>
        <v>Sudeste</v>
      </c>
      <c r="K3" t="str">
        <f t="shared" ref="K3:K66" ca="1" si="9">CHOOSE(RANDBETWEEN(1,5),"Ana Silva","Carlos Mendes","Joao Souza","Maria Lima","Pedro Costa")</f>
        <v>Maria Lima</v>
      </c>
    </row>
    <row r="4" spans="1:11" x14ac:dyDescent="0.25">
      <c r="A4" t="str">
        <f t="shared" si="1"/>
        <v>CLI-1002</v>
      </c>
      <c r="B4" s="1">
        <f t="shared" ca="1" si="2"/>
        <v>46013</v>
      </c>
      <c r="C4" t="str">
        <f t="shared" ca="1" si="3"/>
        <v>Credito Imobiliario</v>
      </c>
      <c r="D4" s="2">
        <f t="shared" ref="D4:D66" ca="1" si="10">CHOOSE(RANDBETWEEN(1,7),5000,12000,25000,45000,80000,150000,300000)</f>
        <v>5000</v>
      </c>
      <c r="E4" s="3">
        <f t="shared" ca="1" si="0"/>
        <v>2.7</v>
      </c>
      <c r="F4" s="4">
        <f t="shared" ca="1" si="4"/>
        <v>36</v>
      </c>
      <c r="G4">
        <f t="shared" ca="1" si="5"/>
        <v>316</v>
      </c>
      <c r="H4" t="str">
        <f t="shared" ca="1" si="6"/>
        <v>Alto</v>
      </c>
      <c r="I4" t="str">
        <f t="shared" ca="1" si="7"/>
        <v>Inadimplente</v>
      </c>
      <c r="J4" t="str">
        <f t="shared" ca="1" si="8"/>
        <v>Norte</v>
      </c>
      <c r="K4" t="str">
        <f t="shared" ca="1" si="9"/>
        <v>Joao Souza</v>
      </c>
    </row>
    <row r="5" spans="1:11" x14ac:dyDescent="0.25">
      <c r="A5" t="str">
        <f t="shared" si="1"/>
        <v>CLI-1003</v>
      </c>
      <c r="B5" s="1">
        <f t="shared" ca="1" si="2"/>
        <v>46052</v>
      </c>
      <c r="C5" t="str">
        <f t="shared" ca="1" si="3"/>
        <v>Credito Consignado</v>
      </c>
      <c r="D5" s="2">
        <f t="shared" ca="1" si="10"/>
        <v>150000</v>
      </c>
      <c r="E5" s="3">
        <f t="shared" ca="1" si="0"/>
        <v>3.09</v>
      </c>
      <c r="F5" s="4">
        <f t="shared" ca="1" si="4"/>
        <v>48</v>
      </c>
      <c r="G5">
        <f t="shared" ca="1" si="5"/>
        <v>581</v>
      </c>
      <c r="H5" t="str">
        <f t="shared" ca="1" si="6"/>
        <v>Alto</v>
      </c>
      <c r="I5" t="str">
        <f t="shared" ca="1" si="7"/>
        <v>Atraso 60d</v>
      </c>
      <c r="J5" t="str">
        <f t="shared" ca="1" si="8"/>
        <v>Norte</v>
      </c>
      <c r="K5" t="str">
        <f t="shared" ca="1" si="9"/>
        <v>Joao Souza</v>
      </c>
    </row>
    <row r="6" spans="1:11" x14ac:dyDescent="0.25">
      <c r="A6" t="str">
        <f t="shared" si="1"/>
        <v>CLI-1004</v>
      </c>
      <c r="B6" s="1">
        <f t="shared" ca="1" si="2"/>
        <v>46171</v>
      </c>
      <c r="C6" t="str">
        <f t="shared" ca="1" si="3"/>
        <v>Credito Pessoal</v>
      </c>
      <c r="D6" s="2">
        <f t="shared" ca="1" si="10"/>
        <v>150000</v>
      </c>
      <c r="E6" s="3">
        <f t="shared" ca="1" si="0"/>
        <v>2.08</v>
      </c>
      <c r="F6" s="4">
        <f t="shared" ca="1" si="4"/>
        <v>120</v>
      </c>
      <c r="G6">
        <f t="shared" ca="1" si="5"/>
        <v>730</v>
      </c>
      <c r="H6" t="str">
        <f t="shared" ca="1" si="6"/>
        <v>Medio</v>
      </c>
      <c r="I6" t="str">
        <f t="shared" ca="1" si="7"/>
        <v>Em Dia</v>
      </c>
      <c r="J6" t="str">
        <f t="shared" ca="1" si="8"/>
        <v>Norte</v>
      </c>
      <c r="K6" t="str">
        <f t="shared" ca="1" si="9"/>
        <v>Ana Silva</v>
      </c>
    </row>
    <row r="7" spans="1:11" x14ac:dyDescent="0.25">
      <c r="A7" t="str">
        <f t="shared" si="1"/>
        <v>CLI-1005</v>
      </c>
      <c r="B7" s="1">
        <f t="shared" ca="1" si="2"/>
        <v>46099</v>
      </c>
      <c r="C7" t="str">
        <f t="shared" ca="1" si="3"/>
        <v>Credito Consignado</v>
      </c>
      <c r="D7" s="2">
        <f t="shared" ca="1" si="10"/>
        <v>45000</v>
      </c>
      <c r="E7" s="3">
        <f ca="1">RANDBETWEEN(60,450)/100</f>
        <v>1.98</v>
      </c>
      <c r="F7" s="4">
        <f t="shared" ca="1" si="4"/>
        <v>48</v>
      </c>
      <c r="G7">
        <f t="shared" ca="1" si="5"/>
        <v>717</v>
      </c>
      <c r="H7" t="str">
        <f t="shared" ca="1" si="6"/>
        <v>Medio</v>
      </c>
      <c r="I7" t="str">
        <f t="shared" ca="1" si="7"/>
        <v>Em Dia</v>
      </c>
      <c r="J7" t="str">
        <f t="shared" ca="1" si="8"/>
        <v>Sul</v>
      </c>
      <c r="K7" t="str">
        <f t="shared" ca="1" si="9"/>
        <v>Joao Souza</v>
      </c>
    </row>
    <row r="8" spans="1:11" x14ac:dyDescent="0.25">
      <c r="A8" t="str">
        <f t="shared" si="1"/>
        <v>CLI-1006</v>
      </c>
      <c r="B8" s="1">
        <f t="shared" ca="1" si="2"/>
        <v>45893</v>
      </c>
      <c r="C8" t="str">
        <f t="shared" ca="1" si="3"/>
        <v>Credito Consignado</v>
      </c>
      <c r="D8" s="2">
        <f t="shared" ca="1" si="10"/>
        <v>80000</v>
      </c>
      <c r="E8" s="3">
        <f t="shared" ca="1" si="0"/>
        <v>3.67</v>
      </c>
      <c r="F8" s="4">
        <f t="shared" ca="1" si="4"/>
        <v>24</v>
      </c>
      <c r="G8">
        <f t="shared" ca="1" si="5"/>
        <v>618</v>
      </c>
      <c r="H8" t="str">
        <f t="shared" ca="1" si="6"/>
        <v>Medio</v>
      </c>
      <c r="I8" t="str">
        <f t="shared" ca="1" si="7"/>
        <v>Atraso 60d</v>
      </c>
      <c r="J8" t="str">
        <f t="shared" ca="1" si="8"/>
        <v>Norte</v>
      </c>
      <c r="K8" t="str">
        <f t="shared" ca="1" si="9"/>
        <v>Ana Silva</v>
      </c>
    </row>
    <row r="9" spans="1:11" x14ac:dyDescent="0.25">
      <c r="A9" t="str">
        <f t="shared" si="1"/>
        <v>CLI-1007</v>
      </c>
      <c r="B9" s="1">
        <f t="shared" ca="1" si="2"/>
        <v>46226</v>
      </c>
      <c r="C9" t="str">
        <f t="shared" ca="1" si="3"/>
        <v>Credito Pessoal</v>
      </c>
      <c r="D9" s="2">
        <f t="shared" ca="1" si="10"/>
        <v>300000</v>
      </c>
      <c r="E9" s="3">
        <f t="shared" ca="1" si="0"/>
        <v>1.66</v>
      </c>
      <c r="F9" s="4">
        <f t="shared" ca="1" si="4"/>
        <v>36</v>
      </c>
      <c r="G9">
        <f t="shared" ca="1" si="5"/>
        <v>676</v>
      </c>
      <c r="H9" t="str">
        <f t="shared" ca="1" si="6"/>
        <v>Medio</v>
      </c>
      <c r="I9" t="str">
        <f t="shared" ca="1" si="7"/>
        <v>Em Dia</v>
      </c>
      <c r="J9" t="str">
        <f t="shared" ca="1" si="8"/>
        <v>Sudeste</v>
      </c>
      <c r="K9" t="str">
        <f t="shared" ca="1" si="9"/>
        <v>Carlos Mendes</v>
      </c>
    </row>
    <row r="10" spans="1:11" x14ac:dyDescent="0.25">
      <c r="A10" t="str">
        <f t="shared" si="1"/>
        <v>CLI-1008</v>
      </c>
      <c r="B10" s="1">
        <f t="shared" ca="1" si="2"/>
        <v>45876</v>
      </c>
      <c r="C10" t="str">
        <f t="shared" ca="1" si="3"/>
        <v>Credito Consignado</v>
      </c>
      <c r="D10" s="2">
        <f t="shared" ca="1" si="10"/>
        <v>80000</v>
      </c>
      <c r="E10" s="3">
        <f t="shared" ca="1" si="0"/>
        <v>2.91</v>
      </c>
      <c r="F10" s="4">
        <f t="shared" ca="1" si="4"/>
        <v>48</v>
      </c>
      <c r="G10">
        <f t="shared" ca="1" si="5"/>
        <v>308</v>
      </c>
      <c r="H10" t="str">
        <f t="shared" ca="1" si="6"/>
        <v>Alto</v>
      </c>
      <c r="I10" t="str">
        <f t="shared" ca="1" si="7"/>
        <v>Em Dia</v>
      </c>
      <c r="J10" t="str">
        <f t="shared" ca="1" si="8"/>
        <v>Norte</v>
      </c>
      <c r="K10" t="str">
        <f t="shared" ca="1" si="9"/>
        <v>Pedro Costa</v>
      </c>
    </row>
    <row r="11" spans="1:11" x14ac:dyDescent="0.25">
      <c r="A11" t="str">
        <f t="shared" si="1"/>
        <v>CLI-1009</v>
      </c>
      <c r="B11" s="1">
        <f t="shared" ca="1" si="2"/>
        <v>46189</v>
      </c>
      <c r="C11" t="str">
        <f t="shared" ca="1" si="3"/>
        <v>Credito Imobiliario</v>
      </c>
      <c r="D11" s="2">
        <f t="shared" ca="1" si="10"/>
        <v>80000</v>
      </c>
      <c r="E11" s="3">
        <f t="shared" ca="1" si="0"/>
        <v>4.12</v>
      </c>
      <c r="F11" s="4">
        <f t="shared" ca="1" si="4"/>
        <v>36</v>
      </c>
      <c r="G11">
        <f t="shared" ca="1" si="5"/>
        <v>715</v>
      </c>
      <c r="H11" t="str">
        <f t="shared" ca="1" si="6"/>
        <v>Medio</v>
      </c>
      <c r="I11" t="str">
        <f t="shared" ca="1" si="7"/>
        <v>Em Dia</v>
      </c>
      <c r="J11" t="str">
        <f t="shared" ca="1" si="8"/>
        <v>Sul</v>
      </c>
      <c r="K11" t="str">
        <f t="shared" ca="1" si="9"/>
        <v>Carlos Mendes</v>
      </c>
    </row>
    <row r="12" spans="1:11" x14ac:dyDescent="0.25">
      <c r="A12" t="str">
        <f t="shared" si="1"/>
        <v>CLI-1010</v>
      </c>
      <c r="B12" s="1">
        <f t="shared" ca="1" si="2"/>
        <v>45965</v>
      </c>
      <c r="C12" t="str">
        <f t="shared" ca="1" si="3"/>
        <v>Cartao de Credito</v>
      </c>
      <c r="D12" s="2">
        <f t="shared" ca="1" si="10"/>
        <v>300000</v>
      </c>
      <c r="E12" s="3">
        <f t="shared" ca="1" si="0"/>
        <v>4.2300000000000004</v>
      </c>
      <c r="F12" s="4">
        <f t="shared" ca="1" si="4"/>
        <v>24</v>
      </c>
      <c r="G12">
        <f t="shared" ca="1" si="5"/>
        <v>312</v>
      </c>
      <c r="H12" t="str">
        <f t="shared" ca="1" si="6"/>
        <v>Alto</v>
      </c>
      <c r="I12" t="str">
        <f t="shared" ca="1" si="7"/>
        <v>Em Dia</v>
      </c>
      <c r="J12" t="str">
        <f t="shared" ca="1" si="8"/>
        <v>Centro-Oeste</v>
      </c>
      <c r="K12" t="str">
        <f t="shared" ca="1" si="9"/>
        <v>Carlos Mendes</v>
      </c>
    </row>
    <row r="13" spans="1:11" x14ac:dyDescent="0.25">
      <c r="A13" t="str">
        <f t="shared" si="1"/>
        <v>CLI-1011</v>
      </c>
      <c r="B13" s="1">
        <f t="shared" ca="1" si="2"/>
        <v>45925</v>
      </c>
      <c r="C13" t="str">
        <f t="shared" ca="1" si="3"/>
        <v>Credito Pessoal</v>
      </c>
      <c r="D13" s="2">
        <f t="shared" ca="1" si="10"/>
        <v>25000</v>
      </c>
      <c r="E13" s="3">
        <f t="shared" ca="1" si="0"/>
        <v>2.77</v>
      </c>
      <c r="F13" s="4">
        <f t="shared" ca="1" si="4"/>
        <v>60</v>
      </c>
      <c r="G13">
        <f t="shared" ca="1" si="5"/>
        <v>406</v>
      </c>
      <c r="H13" t="str">
        <f t="shared" ca="1" si="6"/>
        <v>Alto</v>
      </c>
      <c r="I13" t="str">
        <f t="shared" ca="1" si="7"/>
        <v>Em Dia</v>
      </c>
      <c r="J13" t="str">
        <f t="shared" ca="1" si="8"/>
        <v>Nordeste</v>
      </c>
      <c r="K13" t="str">
        <f t="shared" ca="1" si="9"/>
        <v>Joao Souza</v>
      </c>
    </row>
    <row r="14" spans="1:11" x14ac:dyDescent="0.25">
      <c r="A14" t="str">
        <f t="shared" si="1"/>
        <v>CLI-1012</v>
      </c>
      <c r="B14" s="1">
        <f t="shared" ca="1" si="2"/>
        <v>46012</v>
      </c>
      <c r="C14" t="str">
        <f t="shared" ca="1" si="3"/>
        <v>Credito Imobiliario</v>
      </c>
      <c r="D14" s="2">
        <f t="shared" ca="1" si="10"/>
        <v>80000</v>
      </c>
      <c r="E14" s="3">
        <f t="shared" ca="1" si="0"/>
        <v>3.28</v>
      </c>
      <c r="F14" s="4">
        <f t="shared" ca="1" si="4"/>
        <v>48</v>
      </c>
      <c r="G14">
        <f t="shared" ca="1" si="5"/>
        <v>787</v>
      </c>
      <c r="H14" t="str">
        <f t="shared" ca="1" si="6"/>
        <v>Baixo</v>
      </c>
      <c r="I14" t="str">
        <f t="shared" ca="1" si="7"/>
        <v>Atraso 30d</v>
      </c>
      <c r="J14" t="str">
        <f t="shared" ca="1" si="8"/>
        <v>Sudeste</v>
      </c>
      <c r="K14" t="str">
        <f t="shared" ca="1" si="9"/>
        <v>Carlos Mendes</v>
      </c>
    </row>
    <row r="15" spans="1:11" x14ac:dyDescent="0.25">
      <c r="A15" t="str">
        <f t="shared" si="1"/>
        <v>CLI-1013</v>
      </c>
      <c r="B15" s="1">
        <f t="shared" ca="1" si="2"/>
        <v>46149</v>
      </c>
      <c r="C15" t="str">
        <f t="shared" ca="1" si="3"/>
        <v>Cartao de Credito</v>
      </c>
      <c r="D15" s="2">
        <f t="shared" ca="1" si="10"/>
        <v>300000</v>
      </c>
      <c r="E15" s="3">
        <f t="shared" ca="1" si="0"/>
        <v>2.37</v>
      </c>
      <c r="F15" s="4">
        <f t="shared" ca="1" si="4"/>
        <v>60</v>
      </c>
      <c r="G15">
        <f t="shared" ca="1" si="5"/>
        <v>473</v>
      </c>
      <c r="H15" t="str">
        <f t="shared" ca="1" si="6"/>
        <v>Alto</v>
      </c>
      <c r="I15" t="str">
        <f t="shared" ca="1" si="7"/>
        <v>Em Dia</v>
      </c>
      <c r="J15" t="str">
        <f t="shared" ca="1" si="8"/>
        <v>Centro-Oeste</v>
      </c>
      <c r="K15" t="str">
        <f t="shared" ca="1" si="9"/>
        <v>Ana Silva</v>
      </c>
    </row>
    <row r="16" spans="1:11" x14ac:dyDescent="0.25">
      <c r="A16" t="str">
        <f t="shared" si="1"/>
        <v>CLI-1014</v>
      </c>
      <c r="B16" s="1">
        <f t="shared" ca="1" si="2"/>
        <v>45810</v>
      </c>
      <c r="C16" t="str">
        <f t="shared" ca="1" si="3"/>
        <v>Credito Imobiliario</v>
      </c>
      <c r="D16" s="2">
        <f t="shared" ca="1" si="10"/>
        <v>45000</v>
      </c>
      <c r="E16" s="3">
        <f t="shared" ca="1" si="0"/>
        <v>3.2</v>
      </c>
      <c r="F16" s="4">
        <f t="shared" ca="1" si="4"/>
        <v>12</v>
      </c>
      <c r="G16">
        <f t="shared" ca="1" si="5"/>
        <v>494</v>
      </c>
      <c r="H16" t="str">
        <f t="shared" ca="1" si="6"/>
        <v>Alto</v>
      </c>
      <c r="I16" t="str">
        <f t="shared" ca="1" si="7"/>
        <v>Em Dia</v>
      </c>
      <c r="J16" t="str">
        <f t="shared" ca="1" si="8"/>
        <v>Norte</v>
      </c>
      <c r="K16" t="str">
        <f t="shared" ca="1" si="9"/>
        <v>Carlos Mendes</v>
      </c>
    </row>
    <row r="17" spans="1:11" x14ac:dyDescent="0.25">
      <c r="A17" t="str">
        <f t="shared" si="1"/>
        <v>CLI-1015</v>
      </c>
      <c r="B17" s="1">
        <f t="shared" ca="1" si="2"/>
        <v>46042</v>
      </c>
      <c r="C17" t="str">
        <f t="shared" ca="1" si="3"/>
        <v>Credito Pessoal</v>
      </c>
      <c r="D17" s="2">
        <f t="shared" ca="1" si="10"/>
        <v>25000</v>
      </c>
      <c r="E17" s="3">
        <f t="shared" ca="1" si="0"/>
        <v>1.94</v>
      </c>
      <c r="F17" s="4">
        <f t="shared" ca="1" si="4"/>
        <v>12</v>
      </c>
      <c r="G17">
        <f t="shared" ca="1" si="5"/>
        <v>388</v>
      </c>
      <c r="H17" t="str">
        <f t="shared" ca="1" si="6"/>
        <v>Alto</v>
      </c>
      <c r="I17" t="str">
        <f t="shared" ca="1" si="7"/>
        <v>Em Dia</v>
      </c>
      <c r="J17" t="str">
        <f t="shared" ca="1" si="8"/>
        <v>Nordeste</v>
      </c>
      <c r="K17" t="str">
        <f t="shared" ca="1" si="9"/>
        <v>Pedro Costa</v>
      </c>
    </row>
    <row r="18" spans="1:11" x14ac:dyDescent="0.25">
      <c r="A18" t="str">
        <f t="shared" si="1"/>
        <v>CLI-1016</v>
      </c>
      <c r="B18" s="1">
        <f t="shared" ca="1" si="2"/>
        <v>45862</v>
      </c>
      <c r="C18" t="str">
        <f t="shared" ca="1" si="3"/>
        <v>Credito Pessoal</v>
      </c>
      <c r="D18" s="2">
        <f t="shared" ca="1" si="10"/>
        <v>300000</v>
      </c>
      <c r="E18" s="3">
        <f t="shared" ca="1" si="0"/>
        <v>1.71</v>
      </c>
      <c r="F18" s="4">
        <f t="shared" ca="1" si="4"/>
        <v>48</v>
      </c>
      <c r="G18">
        <f t="shared" ca="1" si="5"/>
        <v>846</v>
      </c>
      <c r="H18" t="str">
        <f t="shared" ca="1" si="6"/>
        <v>Baixo</v>
      </c>
      <c r="I18" t="str">
        <f t="shared" ca="1" si="7"/>
        <v>Atraso 60d</v>
      </c>
      <c r="J18" t="str">
        <f t="shared" ca="1" si="8"/>
        <v>Sudeste</v>
      </c>
      <c r="K18" t="str">
        <f t="shared" ca="1" si="9"/>
        <v>Joao Souza</v>
      </c>
    </row>
    <row r="19" spans="1:11" x14ac:dyDescent="0.25">
      <c r="A19" t="str">
        <f t="shared" si="1"/>
        <v>CLI-1017</v>
      </c>
      <c r="B19" s="1">
        <f t="shared" ca="1" si="2"/>
        <v>46160</v>
      </c>
      <c r="C19" t="str">
        <f t="shared" ca="1" si="3"/>
        <v>Credito Imobiliario</v>
      </c>
      <c r="D19" s="2">
        <f t="shared" ca="1" si="10"/>
        <v>5000</v>
      </c>
      <c r="E19" s="3">
        <f t="shared" ca="1" si="0"/>
        <v>2.14</v>
      </c>
      <c r="F19" s="4">
        <f t="shared" ca="1" si="4"/>
        <v>36</v>
      </c>
      <c r="G19">
        <f t="shared" ca="1" si="5"/>
        <v>482</v>
      </c>
      <c r="H19" t="str">
        <f t="shared" ca="1" si="6"/>
        <v>Alto</v>
      </c>
      <c r="I19" t="str">
        <f t="shared" ca="1" si="7"/>
        <v>Inadimplente</v>
      </c>
      <c r="J19" t="str">
        <f t="shared" ca="1" si="8"/>
        <v>Sudeste</v>
      </c>
      <c r="K19" t="str">
        <f t="shared" ca="1" si="9"/>
        <v>Joao Souza</v>
      </c>
    </row>
    <row r="20" spans="1:11" x14ac:dyDescent="0.25">
      <c r="A20" t="str">
        <f t="shared" si="1"/>
        <v>CLI-1018</v>
      </c>
      <c r="B20" s="1">
        <f t="shared" ca="1" si="2"/>
        <v>46000</v>
      </c>
      <c r="C20" t="str">
        <f t="shared" ca="1" si="3"/>
        <v>Credito Imobiliario</v>
      </c>
      <c r="D20" s="2">
        <f t="shared" ca="1" si="10"/>
        <v>300000</v>
      </c>
      <c r="E20" s="3">
        <f t="shared" ca="1" si="0"/>
        <v>2.93</v>
      </c>
      <c r="F20" s="4">
        <f t="shared" ca="1" si="4"/>
        <v>60</v>
      </c>
      <c r="G20">
        <f t="shared" ca="1" si="5"/>
        <v>788</v>
      </c>
      <c r="H20" t="str">
        <f t="shared" ca="1" si="6"/>
        <v>Baixo</v>
      </c>
      <c r="I20" t="str">
        <f t="shared" ca="1" si="7"/>
        <v>Em Dia</v>
      </c>
      <c r="J20" t="str">
        <f t="shared" ca="1" si="8"/>
        <v>Sul</v>
      </c>
      <c r="K20" t="str">
        <f t="shared" ca="1" si="9"/>
        <v>Maria Lima</v>
      </c>
    </row>
    <row r="21" spans="1:11" x14ac:dyDescent="0.25">
      <c r="A21" t="str">
        <f t="shared" si="1"/>
        <v>CLI-1019</v>
      </c>
      <c r="B21" s="1">
        <f t="shared" ca="1" si="2"/>
        <v>45851</v>
      </c>
      <c r="C21" t="str">
        <f t="shared" ca="1" si="3"/>
        <v>Credito Imobiliario</v>
      </c>
      <c r="D21" s="2">
        <f t="shared" ca="1" si="10"/>
        <v>150000</v>
      </c>
      <c r="E21" s="3">
        <f t="shared" ca="1" si="0"/>
        <v>3.93</v>
      </c>
      <c r="F21" s="4">
        <f t="shared" ca="1" si="4"/>
        <v>360</v>
      </c>
      <c r="G21">
        <f t="shared" ca="1" si="5"/>
        <v>509</v>
      </c>
      <c r="H21" t="str">
        <f t="shared" ca="1" si="6"/>
        <v>Alto</v>
      </c>
      <c r="I21" t="str">
        <f t="shared" ca="1" si="7"/>
        <v>Em Dia</v>
      </c>
      <c r="J21" t="str">
        <f t="shared" ca="1" si="8"/>
        <v>Sudeste</v>
      </c>
      <c r="K21" t="str">
        <f t="shared" ca="1" si="9"/>
        <v>Ana Silva</v>
      </c>
    </row>
    <row r="22" spans="1:11" x14ac:dyDescent="0.25">
      <c r="A22" t="str">
        <f t="shared" si="1"/>
        <v>CLI-1020</v>
      </c>
      <c r="B22" s="1">
        <f t="shared" ca="1" si="2"/>
        <v>46131</v>
      </c>
      <c r="C22" t="str">
        <f t="shared" ca="1" si="3"/>
        <v>Credito Consignado</v>
      </c>
      <c r="D22" s="2">
        <f t="shared" ca="1" si="10"/>
        <v>150000</v>
      </c>
      <c r="E22" s="3">
        <f t="shared" ca="1" si="0"/>
        <v>1.28</v>
      </c>
      <c r="F22" s="4">
        <f t="shared" ca="1" si="4"/>
        <v>60</v>
      </c>
      <c r="G22">
        <f t="shared" ca="1" si="5"/>
        <v>483</v>
      </c>
      <c r="H22" t="str">
        <f t="shared" ca="1" si="6"/>
        <v>Alto</v>
      </c>
      <c r="I22" t="str">
        <f t="shared" ca="1" si="7"/>
        <v>Em Dia</v>
      </c>
      <c r="J22" t="str">
        <f t="shared" ca="1" si="8"/>
        <v>Sul</v>
      </c>
      <c r="K22" t="str">
        <f t="shared" ca="1" si="9"/>
        <v>Joao Souza</v>
      </c>
    </row>
    <row r="23" spans="1:11" x14ac:dyDescent="0.25">
      <c r="A23" t="str">
        <f t="shared" si="1"/>
        <v>CLI-1021</v>
      </c>
      <c r="B23" s="1">
        <f t="shared" ca="1" si="2"/>
        <v>45943</v>
      </c>
      <c r="C23" t="str">
        <f t="shared" ca="1" si="3"/>
        <v>Financiamento Veiculo</v>
      </c>
      <c r="D23" s="2">
        <f t="shared" ca="1" si="10"/>
        <v>45000</v>
      </c>
      <c r="E23" s="3">
        <f t="shared" ca="1" si="0"/>
        <v>2.97</v>
      </c>
      <c r="F23" s="4">
        <f t="shared" ca="1" si="4"/>
        <v>24</v>
      </c>
      <c r="G23">
        <f t="shared" ca="1" si="5"/>
        <v>852</v>
      </c>
      <c r="H23" t="str">
        <f t="shared" ca="1" si="6"/>
        <v>Baixo</v>
      </c>
      <c r="I23" t="str">
        <f t="shared" ca="1" si="7"/>
        <v>Atraso 60d</v>
      </c>
      <c r="J23" t="str">
        <f t="shared" ca="1" si="8"/>
        <v>Centro-Oeste</v>
      </c>
      <c r="K23" t="str">
        <f t="shared" ca="1" si="9"/>
        <v>Pedro Costa</v>
      </c>
    </row>
    <row r="24" spans="1:11" x14ac:dyDescent="0.25">
      <c r="A24" t="str">
        <f t="shared" si="1"/>
        <v>CLI-1022</v>
      </c>
      <c r="B24" s="1">
        <f t="shared" ca="1" si="2"/>
        <v>45848</v>
      </c>
      <c r="C24" t="str">
        <f t="shared" ca="1" si="3"/>
        <v>Credito Consignado</v>
      </c>
      <c r="D24" s="2">
        <f t="shared" ca="1" si="10"/>
        <v>5000</v>
      </c>
      <c r="E24" s="3">
        <f t="shared" ca="1" si="0"/>
        <v>3.05</v>
      </c>
      <c r="F24" s="4">
        <f t="shared" ca="1" si="4"/>
        <v>12</v>
      </c>
      <c r="G24">
        <f t="shared" ca="1" si="5"/>
        <v>330</v>
      </c>
      <c r="H24" t="str">
        <f t="shared" ca="1" si="6"/>
        <v>Alto</v>
      </c>
      <c r="I24" t="str">
        <f t="shared" ca="1" si="7"/>
        <v>Em Dia</v>
      </c>
      <c r="J24" t="str">
        <f t="shared" ca="1" si="8"/>
        <v>Sudeste</v>
      </c>
      <c r="K24" t="str">
        <f t="shared" ca="1" si="9"/>
        <v>Maria Lima</v>
      </c>
    </row>
    <row r="25" spans="1:11" x14ac:dyDescent="0.25">
      <c r="A25" t="str">
        <f t="shared" si="1"/>
        <v>CLI-1023</v>
      </c>
      <c r="B25" s="1">
        <f t="shared" ca="1" si="2"/>
        <v>45883</v>
      </c>
      <c r="C25" t="str">
        <f t="shared" ca="1" si="3"/>
        <v>Credito Pessoal</v>
      </c>
      <c r="D25" s="2">
        <f t="shared" ca="1" si="10"/>
        <v>300000</v>
      </c>
      <c r="E25" s="3">
        <f t="shared" ca="1" si="0"/>
        <v>1.88</v>
      </c>
      <c r="F25" s="4">
        <f t="shared" ca="1" si="4"/>
        <v>24</v>
      </c>
      <c r="G25">
        <f t="shared" ca="1" si="5"/>
        <v>697</v>
      </c>
      <c r="H25" t="str">
        <f t="shared" ca="1" si="6"/>
        <v>Medio</v>
      </c>
      <c r="I25" t="str">
        <f t="shared" ca="1" si="7"/>
        <v>Em Dia</v>
      </c>
      <c r="J25" t="str">
        <f t="shared" ca="1" si="8"/>
        <v>Centro-Oeste</v>
      </c>
      <c r="K25" t="str">
        <f t="shared" ca="1" si="9"/>
        <v>Maria Lima</v>
      </c>
    </row>
    <row r="26" spans="1:11" x14ac:dyDescent="0.25">
      <c r="A26" t="str">
        <f t="shared" si="1"/>
        <v>CLI-1024</v>
      </c>
      <c r="B26" s="1">
        <f t="shared" ca="1" si="2"/>
        <v>46125</v>
      </c>
      <c r="C26" t="str">
        <f t="shared" ca="1" si="3"/>
        <v>Credito Pessoal</v>
      </c>
      <c r="D26" s="2">
        <f t="shared" ca="1" si="10"/>
        <v>80000</v>
      </c>
      <c r="E26" s="3">
        <f t="shared" ca="1" si="0"/>
        <v>1.66</v>
      </c>
      <c r="F26" s="4">
        <f t="shared" ca="1" si="4"/>
        <v>36</v>
      </c>
      <c r="G26">
        <f t="shared" ca="1" si="5"/>
        <v>595</v>
      </c>
      <c r="H26" t="str">
        <f t="shared" ca="1" si="6"/>
        <v>Alto</v>
      </c>
      <c r="I26" t="str">
        <f t="shared" ca="1" si="7"/>
        <v>Em Dia</v>
      </c>
      <c r="J26" t="str">
        <f t="shared" ca="1" si="8"/>
        <v>Centro-Oeste</v>
      </c>
      <c r="K26" t="str">
        <f t="shared" ca="1" si="9"/>
        <v>Joao Souza</v>
      </c>
    </row>
    <row r="27" spans="1:11" x14ac:dyDescent="0.25">
      <c r="A27" t="str">
        <f t="shared" si="1"/>
        <v>CLI-1025</v>
      </c>
      <c r="B27" s="1">
        <f t="shared" ca="1" si="2"/>
        <v>46118</v>
      </c>
      <c r="C27" t="str">
        <f t="shared" ca="1" si="3"/>
        <v>Credito Pessoal</v>
      </c>
      <c r="D27" s="2">
        <f t="shared" ca="1" si="10"/>
        <v>12000</v>
      </c>
      <c r="E27" s="3">
        <f t="shared" ca="1" si="0"/>
        <v>2.4900000000000002</v>
      </c>
      <c r="F27" s="4">
        <f t="shared" ca="1" si="4"/>
        <v>12</v>
      </c>
      <c r="G27">
        <f t="shared" ca="1" si="5"/>
        <v>388</v>
      </c>
      <c r="H27" t="str">
        <f t="shared" ca="1" si="6"/>
        <v>Alto</v>
      </c>
      <c r="I27" t="str">
        <f t="shared" ca="1" si="7"/>
        <v>Em Dia</v>
      </c>
      <c r="J27" t="str">
        <f t="shared" ca="1" si="8"/>
        <v>Centro-Oeste</v>
      </c>
      <c r="K27" t="str">
        <f t="shared" ca="1" si="9"/>
        <v>Joao Souza</v>
      </c>
    </row>
    <row r="28" spans="1:11" x14ac:dyDescent="0.25">
      <c r="A28" t="str">
        <f t="shared" si="1"/>
        <v>CLI-1026</v>
      </c>
      <c r="B28" s="1">
        <f t="shared" ca="1" si="2"/>
        <v>45792</v>
      </c>
      <c r="C28" t="str">
        <f t="shared" ca="1" si="3"/>
        <v>Credito Consignado</v>
      </c>
      <c r="D28" s="2">
        <f t="shared" ca="1" si="10"/>
        <v>80000</v>
      </c>
      <c r="E28" s="3">
        <f t="shared" ca="1" si="0"/>
        <v>3.32</v>
      </c>
      <c r="F28" s="4">
        <f t="shared" ca="1" si="4"/>
        <v>360</v>
      </c>
      <c r="G28">
        <f t="shared" ca="1" si="5"/>
        <v>317</v>
      </c>
      <c r="H28" t="str">
        <f t="shared" ca="1" si="6"/>
        <v>Alto</v>
      </c>
      <c r="I28" t="str">
        <f t="shared" ca="1" si="7"/>
        <v>Em Dia</v>
      </c>
      <c r="J28" t="str">
        <f t="shared" ca="1" si="8"/>
        <v>Sudeste</v>
      </c>
      <c r="K28" t="str">
        <f t="shared" ca="1" si="9"/>
        <v>Joao Souza</v>
      </c>
    </row>
    <row r="29" spans="1:11" x14ac:dyDescent="0.25">
      <c r="A29" t="str">
        <f t="shared" si="1"/>
        <v>CLI-1027</v>
      </c>
      <c r="B29" s="1">
        <f t="shared" ca="1" si="2"/>
        <v>46060</v>
      </c>
      <c r="C29" t="str">
        <f t="shared" ca="1" si="3"/>
        <v>Credito Pessoal</v>
      </c>
      <c r="D29" s="2">
        <f t="shared" ca="1" si="10"/>
        <v>5000</v>
      </c>
      <c r="E29" s="3">
        <f t="shared" ca="1" si="0"/>
        <v>1.52</v>
      </c>
      <c r="F29" s="4">
        <f t="shared" ca="1" si="4"/>
        <v>120</v>
      </c>
      <c r="G29">
        <f t="shared" ca="1" si="5"/>
        <v>609</v>
      </c>
      <c r="H29" t="str">
        <f t="shared" ca="1" si="6"/>
        <v>Medio</v>
      </c>
      <c r="I29" t="str">
        <f t="shared" ca="1" si="7"/>
        <v>Atraso 60d</v>
      </c>
      <c r="J29" t="str">
        <f t="shared" ca="1" si="8"/>
        <v>Centro-Oeste</v>
      </c>
      <c r="K29" t="str">
        <f t="shared" ca="1" si="9"/>
        <v>Joao Souza</v>
      </c>
    </row>
    <row r="30" spans="1:11" x14ac:dyDescent="0.25">
      <c r="A30" t="str">
        <f t="shared" si="1"/>
        <v>CLI-1028</v>
      </c>
      <c r="B30" s="1">
        <f t="shared" ca="1" si="2"/>
        <v>46223</v>
      </c>
      <c r="C30" t="str">
        <f t="shared" ca="1" si="3"/>
        <v>Cartao de Credito</v>
      </c>
      <c r="D30" s="2">
        <f t="shared" ca="1" si="10"/>
        <v>45000</v>
      </c>
      <c r="E30" s="3">
        <f t="shared" ca="1" si="0"/>
        <v>1.28</v>
      </c>
      <c r="F30" s="4">
        <f t="shared" ca="1" si="4"/>
        <v>120</v>
      </c>
      <c r="G30">
        <f t="shared" ca="1" si="5"/>
        <v>589</v>
      </c>
      <c r="H30" t="str">
        <f t="shared" ca="1" si="6"/>
        <v>Alto</v>
      </c>
      <c r="I30" t="str">
        <f t="shared" ca="1" si="7"/>
        <v>Em Dia</v>
      </c>
      <c r="J30" t="str">
        <f t="shared" ca="1" si="8"/>
        <v>Norte</v>
      </c>
      <c r="K30" t="str">
        <f t="shared" ca="1" si="9"/>
        <v>Ana Silva</v>
      </c>
    </row>
    <row r="31" spans="1:11" x14ac:dyDescent="0.25">
      <c r="A31" t="str">
        <f t="shared" si="1"/>
        <v>CLI-1029</v>
      </c>
      <c r="B31" s="1">
        <f t="shared" ca="1" si="2"/>
        <v>45952</v>
      </c>
      <c r="C31" t="str">
        <f t="shared" ca="1" si="3"/>
        <v>Credito Imobiliario</v>
      </c>
      <c r="D31" s="2">
        <f t="shared" ca="1" si="10"/>
        <v>80000</v>
      </c>
      <c r="E31" s="3">
        <f t="shared" ca="1" si="0"/>
        <v>1.67</v>
      </c>
      <c r="F31" s="4">
        <f t="shared" ca="1" si="4"/>
        <v>360</v>
      </c>
      <c r="G31">
        <f t="shared" ca="1" si="5"/>
        <v>633</v>
      </c>
      <c r="H31" t="str">
        <f t="shared" ca="1" si="6"/>
        <v>Medio</v>
      </c>
      <c r="I31" t="str">
        <f t="shared" ca="1" si="7"/>
        <v>Em Dia</v>
      </c>
      <c r="J31" t="str">
        <f t="shared" ca="1" si="8"/>
        <v>Sudeste</v>
      </c>
      <c r="K31" t="str">
        <f t="shared" ca="1" si="9"/>
        <v>Maria Lima</v>
      </c>
    </row>
    <row r="32" spans="1:11" x14ac:dyDescent="0.25">
      <c r="A32" t="str">
        <f t="shared" si="1"/>
        <v>CLI-1030</v>
      </c>
      <c r="B32" s="1">
        <f t="shared" ca="1" si="2"/>
        <v>45985</v>
      </c>
      <c r="C32" t="str">
        <f t="shared" ca="1" si="3"/>
        <v>Credito Pessoal</v>
      </c>
      <c r="D32" s="2">
        <f t="shared" ca="1" si="10"/>
        <v>45000</v>
      </c>
      <c r="E32" s="3">
        <f t="shared" ca="1" si="0"/>
        <v>2.58</v>
      </c>
      <c r="F32" s="4">
        <f t="shared" ca="1" si="4"/>
        <v>360</v>
      </c>
      <c r="G32">
        <f t="shared" ca="1" si="5"/>
        <v>825</v>
      </c>
      <c r="H32" t="str">
        <f t="shared" ca="1" si="6"/>
        <v>Baixo</v>
      </c>
      <c r="I32" t="str">
        <f t="shared" ca="1" si="7"/>
        <v>Atraso 60d</v>
      </c>
      <c r="J32" t="str">
        <f t="shared" ca="1" si="8"/>
        <v>Sudeste</v>
      </c>
      <c r="K32" t="str">
        <f t="shared" ca="1" si="9"/>
        <v>Joao Souza</v>
      </c>
    </row>
    <row r="33" spans="1:11" x14ac:dyDescent="0.25">
      <c r="A33" t="str">
        <f t="shared" si="1"/>
        <v>CLI-1031</v>
      </c>
      <c r="B33" s="1">
        <f t="shared" ca="1" si="2"/>
        <v>45780</v>
      </c>
      <c r="C33" t="str">
        <f t="shared" ca="1" si="3"/>
        <v>Credito Consignado</v>
      </c>
      <c r="D33" s="2">
        <f t="shared" ca="1" si="10"/>
        <v>300000</v>
      </c>
      <c r="E33" s="3">
        <f t="shared" ca="1" si="0"/>
        <v>1.8</v>
      </c>
      <c r="F33" s="4">
        <f t="shared" ca="1" si="4"/>
        <v>360</v>
      </c>
      <c r="G33">
        <f t="shared" ca="1" si="5"/>
        <v>450</v>
      </c>
      <c r="H33" t="str">
        <f t="shared" ca="1" si="6"/>
        <v>Alto</v>
      </c>
      <c r="I33" t="str">
        <f t="shared" ca="1" si="7"/>
        <v>Inadimplente</v>
      </c>
      <c r="J33" t="str">
        <f t="shared" ca="1" si="8"/>
        <v>Sul</v>
      </c>
      <c r="K33" t="str">
        <f t="shared" ca="1" si="9"/>
        <v>Joao Souza</v>
      </c>
    </row>
    <row r="34" spans="1:11" x14ac:dyDescent="0.25">
      <c r="A34" t="str">
        <f t="shared" si="1"/>
        <v>CLI-1032</v>
      </c>
      <c r="B34" s="1">
        <f t="shared" ca="1" si="2"/>
        <v>46025</v>
      </c>
      <c r="C34" t="str">
        <f t="shared" ca="1" si="3"/>
        <v>Credito Consignado</v>
      </c>
      <c r="D34" s="2">
        <f t="shared" ca="1" si="10"/>
        <v>80000</v>
      </c>
      <c r="E34" s="3">
        <f t="shared" ca="1" si="0"/>
        <v>1.17</v>
      </c>
      <c r="F34" s="4">
        <f t="shared" ca="1" si="4"/>
        <v>120</v>
      </c>
      <c r="G34">
        <f t="shared" ca="1" si="5"/>
        <v>700</v>
      </c>
      <c r="H34" t="str">
        <f t="shared" ca="1" si="6"/>
        <v>Medio</v>
      </c>
      <c r="I34" t="str">
        <f t="shared" ca="1" si="7"/>
        <v>Atraso 30d</v>
      </c>
      <c r="J34" t="str">
        <f t="shared" ca="1" si="8"/>
        <v>Centro-Oeste</v>
      </c>
      <c r="K34" t="str">
        <f t="shared" ca="1" si="9"/>
        <v>Carlos Mendes</v>
      </c>
    </row>
    <row r="35" spans="1:11" x14ac:dyDescent="0.25">
      <c r="A35" t="str">
        <f t="shared" si="1"/>
        <v>CLI-1033</v>
      </c>
      <c r="B35" s="1">
        <f t="shared" ca="1" si="2"/>
        <v>45846</v>
      </c>
      <c r="C35" t="str">
        <f t="shared" ca="1" si="3"/>
        <v>Credito Imobiliario</v>
      </c>
      <c r="D35" s="2">
        <f t="shared" ca="1" si="10"/>
        <v>12000</v>
      </c>
      <c r="E35" s="3">
        <f t="shared" ca="1" si="0"/>
        <v>2.2599999999999998</v>
      </c>
      <c r="F35" s="4">
        <f t="shared" ca="1" si="4"/>
        <v>120</v>
      </c>
      <c r="G35">
        <f t="shared" ca="1" si="5"/>
        <v>805</v>
      </c>
      <c r="H35" t="str">
        <f t="shared" ca="1" si="6"/>
        <v>Baixo</v>
      </c>
      <c r="I35" t="str">
        <f t="shared" ca="1" si="7"/>
        <v>Em Dia</v>
      </c>
      <c r="J35" t="str">
        <f t="shared" ca="1" si="8"/>
        <v>Nordeste</v>
      </c>
      <c r="K35" t="str">
        <f t="shared" ca="1" si="9"/>
        <v>Joao Souza</v>
      </c>
    </row>
    <row r="36" spans="1:11" x14ac:dyDescent="0.25">
      <c r="A36" t="str">
        <f t="shared" si="1"/>
        <v>CLI-1034</v>
      </c>
      <c r="B36" s="1">
        <f t="shared" ca="1" si="2"/>
        <v>46130</v>
      </c>
      <c r="C36" t="str">
        <f t="shared" ca="1" si="3"/>
        <v>Credito Imobiliario</v>
      </c>
      <c r="D36" s="2">
        <f t="shared" ca="1" si="10"/>
        <v>12000</v>
      </c>
      <c r="E36" s="3">
        <f t="shared" ca="1" si="0"/>
        <v>3.92</v>
      </c>
      <c r="F36" s="4">
        <f t="shared" ca="1" si="4"/>
        <v>120</v>
      </c>
      <c r="G36">
        <f t="shared" ca="1" si="5"/>
        <v>934</v>
      </c>
      <c r="H36" t="str">
        <f t="shared" ca="1" si="6"/>
        <v>Baixo</v>
      </c>
      <c r="I36" t="str">
        <f t="shared" ca="1" si="7"/>
        <v>Em Dia</v>
      </c>
      <c r="J36" t="str">
        <f t="shared" ca="1" si="8"/>
        <v>Nordeste</v>
      </c>
      <c r="K36" t="str">
        <f t="shared" ca="1" si="9"/>
        <v>Ana Silva</v>
      </c>
    </row>
    <row r="37" spans="1:11" x14ac:dyDescent="0.25">
      <c r="A37" t="str">
        <f t="shared" si="1"/>
        <v>CLI-1035</v>
      </c>
      <c r="B37" s="1">
        <f t="shared" ca="1" si="2"/>
        <v>46240</v>
      </c>
      <c r="C37" t="str">
        <f t="shared" ca="1" si="3"/>
        <v>Credito Pessoal</v>
      </c>
      <c r="D37" s="2">
        <f t="shared" ca="1" si="10"/>
        <v>300000</v>
      </c>
      <c r="E37" s="3">
        <f t="shared" ca="1" si="0"/>
        <v>1.83</v>
      </c>
      <c r="F37" s="4">
        <f t="shared" ca="1" si="4"/>
        <v>360</v>
      </c>
      <c r="G37">
        <f t="shared" ca="1" si="5"/>
        <v>758</v>
      </c>
      <c r="H37" t="str">
        <f t="shared" ca="1" si="6"/>
        <v>Baixo</v>
      </c>
      <c r="I37" t="str">
        <f t="shared" ca="1" si="7"/>
        <v>Em Dia</v>
      </c>
      <c r="J37" t="str">
        <f t="shared" ca="1" si="8"/>
        <v>Norte</v>
      </c>
      <c r="K37" t="str">
        <f t="shared" ca="1" si="9"/>
        <v>Pedro Costa</v>
      </c>
    </row>
    <row r="38" spans="1:11" x14ac:dyDescent="0.25">
      <c r="A38" t="str">
        <f t="shared" si="1"/>
        <v>CLI-1036</v>
      </c>
      <c r="B38" s="1">
        <f t="shared" ca="1" si="2"/>
        <v>46049</v>
      </c>
      <c r="C38" t="str">
        <f t="shared" ca="1" si="3"/>
        <v>Financiamento Veiculo</v>
      </c>
      <c r="D38" s="2">
        <f t="shared" ca="1" si="10"/>
        <v>25000</v>
      </c>
      <c r="E38" s="3">
        <f t="shared" ca="1" si="0"/>
        <v>3.88</v>
      </c>
      <c r="F38" s="4">
        <f t="shared" ca="1" si="4"/>
        <v>60</v>
      </c>
      <c r="G38">
        <f t="shared" ca="1" si="5"/>
        <v>693</v>
      </c>
      <c r="H38" t="str">
        <f t="shared" ca="1" si="6"/>
        <v>Medio</v>
      </c>
      <c r="I38" t="str">
        <f t="shared" ca="1" si="7"/>
        <v>Em Dia</v>
      </c>
      <c r="J38" t="str">
        <f t="shared" ca="1" si="8"/>
        <v>Norte</v>
      </c>
      <c r="K38" t="str">
        <f t="shared" ca="1" si="9"/>
        <v>Maria Lima</v>
      </c>
    </row>
    <row r="39" spans="1:11" x14ac:dyDescent="0.25">
      <c r="A39" t="str">
        <f t="shared" si="1"/>
        <v>CLI-1037</v>
      </c>
      <c r="B39" s="1">
        <f t="shared" ca="1" si="2"/>
        <v>45942</v>
      </c>
      <c r="C39" t="str">
        <f t="shared" ca="1" si="3"/>
        <v>Credito Imobiliario</v>
      </c>
      <c r="D39" s="2">
        <f t="shared" ca="1" si="10"/>
        <v>12000</v>
      </c>
      <c r="E39" s="3">
        <f t="shared" ca="1" si="0"/>
        <v>1.03</v>
      </c>
      <c r="F39" s="4">
        <f t="shared" ca="1" si="4"/>
        <v>48</v>
      </c>
      <c r="G39">
        <f t="shared" ca="1" si="5"/>
        <v>905</v>
      </c>
      <c r="H39" t="str">
        <f t="shared" ca="1" si="6"/>
        <v>Baixo</v>
      </c>
      <c r="I39" t="str">
        <f t="shared" ca="1" si="7"/>
        <v>Em Dia</v>
      </c>
      <c r="J39" t="str">
        <f t="shared" ca="1" si="8"/>
        <v>Nordeste</v>
      </c>
      <c r="K39" t="str">
        <f t="shared" ca="1" si="9"/>
        <v>Pedro Costa</v>
      </c>
    </row>
    <row r="40" spans="1:11" x14ac:dyDescent="0.25">
      <c r="A40" t="str">
        <f t="shared" si="1"/>
        <v>CLI-1038</v>
      </c>
      <c r="B40" s="1">
        <f t="shared" ca="1" si="2"/>
        <v>46167</v>
      </c>
      <c r="C40" t="str">
        <f t="shared" ca="1" si="3"/>
        <v>Credito Pessoal</v>
      </c>
      <c r="D40" s="2">
        <f t="shared" ca="1" si="10"/>
        <v>300000</v>
      </c>
      <c r="E40" s="3">
        <f t="shared" ca="1" si="0"/>
        <v>2.2999999999999998</v>
      </c>
      <c r="F40" s="4">
        <f t="shared" ca="1" si="4"/>
        <v>48</v>
      </c>
      <c r="G40">
        <f t="shared" ca="1" si="5"/>
        <v>631</v>
      </c>
      <c r="H40" t="str">
        <f t="shared" ca="1" si="6"/>
        <v>Medio</v>
      </c>
      <c r="I40" t="str">
        <f t="shared" ca="1" si="7"/>
        <v>Em Dia</v>
      </c>
      <c r="J40" t="str">
        <f t="shared" ca="1" si="8"/>
        <v>Sul</v>
      </c>
      <c r="K40" t="str">
        <f t="shared" ca="1" si="9"/>
        <v>Maria Lima</v>
      </c>
    </row>
    <row r="41" spans="1:11" x14ac:dyDescent="0.25">
      <c r="A41" t="str">
        <f t="shared" si="1"/>
        <v>CLI-1039</v>
      </c>
      <c r="B41" s="1">
        <f t="shared" ca="1" si="2"/>
        <v>46013</v>
      </c>
      <c r="C41" t="str">
        <f t="shared" ca="1" si="3"/>
        <v>Financiamento Veiculo</v>
      </c>
      <c r="D41" s="2">
        <f t="shared" ca="1" si="10"/>
        <v>80000</v>
      </c>
      <c r="E41" s="3">
        <f t="shared" ca="1" si="0"/>
        <v>2.58</v>
      </c>
      <c r="F41" s="4">
        <f t="shared" ca="1" si="4"/>
        <v>12</v>
      </c>
      <c r="G41">
        <f t="shared" ca="1" si="5"/>
        <v>621</v>
      </c>
      <c r="H41" t="str">
        <f t="shared" ca="1" si="6"/>
        <v>Medio</v>
      </c>
      <c r="I41" t="str">
        <f t="shared" ca="1" si="7"/>
        <v>Inadimplente</v>
      </c>
      <c r="J41" t="str">
        <f t="shared" ca="1" si="8"/>
        <v>Norte</v>
      </c>
      <c r="K41" t="str">
        <f t="shared" ca="1" si="9"/>
        <v>Maria Lima</v>
      </c>
    </row>
    <row r="42" spans="1:11" x14ac:dyDescent="0.25">
      <c r="A42" t="str">
        <f t="shared" si="1"/>
        <v>CLI-1040</v>
      </c>
      <c r="B42" s="1">
        <f t="shared" ca="1" si="2"/>
        <v>45851</v>
      </c>
      <c r="C42" t="str">
        <f t="shared" ca="1" si="3"/>
        <v>Credito Consignado</v>
      </c>
      <c r="D42" s="2">
        <f t="shared" ca="1" si="10"/>
        <v>12000</v>
      </c>
      <c r="E42" s="3">
        <f t="shared" ca="1" si="0"/>
        <v>4.38</v>
      </c>
      <c r="F42" s="4">
        <f t="shared" ca="1" si="4"/>
        <v>48</v>
      </c>
      <c r="G42">
        <f t="shared" ca="1" si="5"/>
        <v>881</v>
      </c>
      <c r="H42" t="str">
        <f t="shared" ca="1" si="6"/>
        <v>Baixo</v>
      </c>
      <c r="I42" t="str">
        <f t="shared" ca="1" si="7"/>
        <v>Em Dia</v>
      </c>
      <c r="J42" t="str">
        <f t="shared" ca="1" si="8"/>
        <v>Sudeste</v>
      </c>
      <c r="K42" t="str">
        <f t="shared" ca="1" si="9"/>
        <v>Joao Souza</v>
      </c>
    </row>
    <row r="43" spans="1:11" x14ac:dyDescent="0.25">
      <c r="A43" t="str">
        <f t="shared" si="1"/>
        <v>CLI-1041</v>
      </c>
      <c r="B43" s="1">
        <f t="shared" ca="1" si="2"/>
        <v>46025</v>
      </c>
      <c r="C43" t="str">
        <f t="shared" ca="1" si="3"/>
        <v>Credito Consignado</v>
      </c>
      <c r="D43" s="2">
        <f t="shared" ca="1" si="10"/>
        <v>5000</v>
      </c>
      <c r="E43" s="3">
        <f t="shared" ca="1" si="0"/>
        <v>2.06</v>
      </c>
      <c r="F43" s="4">
        <f t="shared" ca="1" si="4"/>
        <v>24</v>
      </c>
      <c r="G43">
        <f t="shared" ca="1" si="5"/>
        <v>580</v>
      </c>
      <c r="H43" t="str">
        <f t="shared" ca="1" si="6"/>
        <v>Alto</v>
      </c>
      <c r="I43" t="str">
        <f t="shared" ca="1" si="7"/>
        <v>Atraso 30d</v>
      </c>
      <c r="J43" t="str">
        <f t="shared" ca="1" si="8"/>
        <v>Sudeste</v>
      </c>
      <c r="K43" t="str">
        <f t="shared" ca="1" si="9"/>
        <v>Ana Silva</v>
      </c>
    </row>
    <row r="44" spans="1:11" x14ac:dyDescent="0.25">
      <c r="A44" t="str">
        <f t="shared" si="1"/>
        <v>CLI-1042</v>
      </c>
      <c r="B44" s="1">
        <f t="shared" ca="1" si="2"/>
        <v>46213</v>
      </c>
      <c r="C44" t="str">
        <f t="shared" ca="1" si="3"/>
        <v>Credito Pessoal</v>
      </c>
      <c r="D44" s="2">
        <f t="shared" ca="1" si="10"/>
        <v>150000</v>
      </c>
      <c r="E44" s="3">
        <f t="shared" ca="1" si="0"/>
        <v>2.38</v>
      </c>
      <c r="F44" s="4">
        <f t="shared" ca="1" si="4"/>
        <v>36</v>
      </c>
      <c r="G44">
        <f t="shared" ca="1" si="5"/>
        <v>508</v>
      </c>
      <c r="H44" t="str">
        <f t="shared" ca="1" si="6"/>
        <v>Alto</v>
      </c>
      <c r="I44" t="str">
        <f t="shared" ca="1" si="7"/>
        <v>Atraso 60d</v>
      </c>
      <c r="J44" t="str">
        <f t="shared" ca="1" si="8"/>
        <v>Sudeste</v>
      </c>
      <c r="K44" t="str">
        <f t="shared" ca="1" si="9"/>
        <v>Carlos Mendes</v>
      </c>
    </row>
    <row r="45" spans="1:11" x14ac:dyDescent="0.25">
      <c r="A45" t="str">
        <f t="shared" si="1"/>
        <v>CLI-1043</v>
      </c>
      <c r="B45" s="1">
        <f t="shared" ca="1" si="2"/>
        <v>45895</v>
      </c>
      <c r="C45" t="str">
        <f t="shared" ca="1" si="3"/>
        <v>Cartao de Credito</v>
      </c>
      <c r="D45" s="2">
        <f t="shared" ca="1" si="10"/>
        <v>12000</v>
      </c>
      <c r="E45" s="3">
        <f t="shared" ca="1" si="0"/>
        <v>0.83</v>
      </c>
      <c r="F45" s="4">
        <f t="shared" ca="1" si="4"/>
        <v>120</v>
      </c>
      <c r="G45">
        <f t="shared" ca="1" si="5"/>
        <v>944</v>
      </c>
      <c r="H45" t="str">
        <f t="shared" ca="1" si="6"/>
        <v>Baixo</v>
      </c>
      <c r="I45" t="str">
        <f t="shared" ca="1" si="7"/>
        <v>Inadimplente</v>
      </c>
      <c r="J45" t="str">
        <f t="shared" ca="1" si="8"/>
        <v>Nordeste</v>
      </c>
      <c r="K45" t="str">
        <f t="shared" ca="1" si="9"/>
        <v>Ana Silva</v>
      </c>
    </row>
    <row r="46" spans="1:11" x14ac:dyDescent="0.25">
      <c r="A46" t="str">
        <f t="shared" si="1"/>
        <v>CLI-1044</v>
      </c>
      <c r="B46" s="1">
        <f t="shared" ca="1" si="2"/>
        <v>46246</v>
      </c>
      <c r="C46" t="str">
        <f t="shared" ca="1" si="3"/>
        <v>Credito Pessoal</v>
      </c>
      <c r="D46" s="2">
        <f t="shared" ca="1" si="10"/>
        <v>300000</v>
      </c>
      <c r="E46" s="3">
        <f t="shared" ca="1" si="0"/>
        <v>4.33</v>
      </c>
      <c r="F46" s="4">
        <f t="shared" ca="1" si="4"/>
        <v>360</v>
      </c>
      <c r="G46">
        <f t="shared" ca="1" si="5"/>
        <v>932</v>
      </c>
      <c r="H46" t="str">
        <f t="shared" ca="1" si="6"/>
        <v>Baixo</v>
      </c>
      <c r="I46" t="str">
        <f t="shared" ca="1" si="7"/>
        <v>Em Dia</v>
      </c>
      <c r="J46" t="str">
        <f t="shared" ca="1" si="8"/>
        <v>Sudeste</v>
      </c>
      <c r="K46" t="str">
        <f t="shared" ca="1" si="9"/>
        <v>Carlos Mendes</v>
      </c>
    </row>
    <row r="47" spans="1:11" x14ac:dyDescent="0.25">
      <c r="A47" t="str">
        <f t="shared" si="1"/>
        <v>CLI-1045</v>
      </c>
      <c r="B47" s="1">
        <f t="shared" ca="1" si="2"/>
        <v>46010</v>
      </c>
      <c r="C47" t="str">
        <f t="shared" ca="1" si="3"/>
        <v>Cartao de Credito</v>
      </c>
      <c r="D47" s="2">
        <f t="shared" ca="1" si="10"/>
        <v>45000</v>
      </c>
      <c r="E47" s="3">
        <f t="shared" ca="1" si="0"/>
        <v>3.68</v>
      </c>
      <c r="F47" s="4">
        <f t="shared" ca="1" si="4"/>
        <v>48</v>
      </c>
      <c r="G47">
        <f t="shared" ca="1" si="5"/>
        <v>507</v>
      </c>
      <c r="H47" t="str">
        <f t="shared" ca="1" si="6"/>
        <v>Alto</v>
      </c>
      <c r="I47" t="str">
        <f t="shared" ca="1" si="7"/>
        <v>Inadimplente</v>
      </c>
      <c r="J47" t="str">
        <f t="shared" ca="1" si="8"/>
        <v>Sudeste</v>
      </c>
      <c r="K47" t="str">
        <f t="shared" ca="1" si="9"/>
        <v>Pedro Costa</v>
      </c>
    </row>
    <row r="48" spans="1:11" x14ac:dyDescent="0.25">
      <c r="A48" t="str">
        <f t="shared" si="1"/>
        <v>CLI-1046</v>
      </c>
      <c r="B48" s="1">
        <f t="shared" ca="1" si="2"/>
        <v>45936</v>
      </c>
      <c r="C48" t="str">
        <f t="shared" ca="1" si="3"/>
        <v>Credito Pessoal</v>
      </c>
      <c r="D48" s="2">
        <f t="shared" ca="1" si="10"/>
        <v>300000</v>
      </c>
      <c r="E48" s="3">
        <f t="shared" ca="1" si="0"/>
        <v>3.05</v>
      </c>
      <c r="F48" s="4">
        <f t="shared" ca="1" si="4"/>
        <v>60</v>
      </c>
      <c r="G48">
        <f t="shared" ca="1" si="5"/>
        <v>360</v>
      </c>
      <c r="H48" t="str">
        <f t="shared" ca="1" si="6"/>
        <v>Alto</v>
      </c>
      <c r="I48" t="str">
        <f t="shared" ca="1" si="7"/>
        <v>Em Dia</v>
      </c>
      <c r="J48" t="str">
        <f t="shared" ca="1" si="8"/>
        <v>Norte</v>
      </c>
      <c r="K48" t="str">
        <f t="shared" ca="1" si="9"/>
        <v>Joao Souza</v>
      </c>
    </row>
    <row r="49" spans="1:11" x14ac:dyDescent="0.25">
      <c r="A49" t="str">
        <f t="shared" si="1"/>
        <v>CLI-1047</v>
      </c>
      <c r="B49" s="1">
        <f t="shared" ca="1" si="2"/>
        <v>46004</v>
      </c>
      <c r="C49" t="str">
        <f t="shared" ca="1" si="3"/>
        <v>Credito Imobiliario</v>
      </c>
      <c r="D49" s="2">
        <f t="shared" ca="1" si="10"/>
        <v>45000</v>
      </c>
      <c r="E49" s="3">
        <f t="shared" ca="1" si="0"/>
        <v>4.18</v>
      </c>
      <c r="F49" s="4">
        <f t="shared" ca="1" si="4"/>
        <v>120</v>
      </c>
      <c r="G49">
        <f t="shared" ca="1" si="5"/>
        <v>874</v>
      </c>
      <c r="H49" t="str">
        <f t="shared" ca="1" si="6"/>
        <v>Baixo</v>
      </c>
      <c r="I49" t="str">
        <f t="shared" ca="1" si="7"/>
        <v>Em Dia</v>
      </c>
      <c r="J49" t="str">
        <f t="shared" ca="1" si="8"/>
        <v>Sudeste</v>
      </c>
      <c r="K49" t="str">
        <f t="shared" ca="1" si="9"/>
        <v>Joao Souza</v>
      </c>
    </row>
    <row r="50" spans="1:11" x14ac:dyDescent="0.25">
      <c r="A50" t="str">
        <f t="shared" si="1"/>
        <v>CLI-1048</v>
      </c>
      <c r="B50" s="1">
        <f t="shared" ca="1" si="2"/>
        <v>45904</v>
      </c>
      <c r="C50" t="str">
        <f t="shared" ca="1" si="3"/>
        <v>Credito Pessoal</v>
      </c>
      <c r="D50" s="2">
        <f t="shared" ca="1" si="10"/>
        <v>150000</v>
      </c>
      <c r="E50" s="3">
        <f t="shared" ca="1" si="0"/>
        <v>4.33</v>
      </c>
      <c r="F50" s="4">
        <f t="shared" ca="1" si="4"/>
        <v>360</v>
      </c>
      <c r="G50">
        <f t="shared" ca="1" si="5"/>
        <v>841</v>
      </c>
      <c r="H50" t="str">
        <f t="shared" ca="1" si="6"/>
        <v>Baixo</v>
      </c>
      <c r="I50" t="str">
        <f t="shared" ca="1" si="7"/>
        <v>Atraso 30d</v>
      </c>
      <c r="J50" t="str">
        <f t="shared" ca="1" si="8"/>
        <v>Sudeste</v>
      </c>
      <c r="K50" t="str">
        <f t="shared" ca="1" si="9"/>
        <v>Joao Souza</v>
      </c>
    </row>
    <row r="51" spans="1:11" x14ac:dyDescent="0.25">
      <c r="A51" t="str">
        <f t="shared" si="1"/>
        <v>CLI-1049</v>
      </c>
      <c r="B51" s="1">
        <f t="shared" ca="1" si="2"/>
        <v>45842</v>
      </c>
      <c r="C51" t="str">
        <f t="shared" ca="1" si="3"/>
        <v>Credito Pessoal</v>
      </c>
      <c r="D51" s="2">
        <f t="shared" ca="1" si="10"/>
        <v>150000</v>
      </c>
      <c r="E51" s="3">
        <f t="shared" ca="1" si="0"/>
        <v>0.96</v>
      </c>
      <c r="F51" s="4">
        <f t="shared" ca="1" si="4"/>
        <v>24</v>
      </c>
      <c r="G51">
        <f t="shared" ca="1" si="5"/>
        <v>338</v>
      </c>
      <c r="H51" t="str">
        <f t="shared" ca="1" si="6"/>
        <v>Alto</v>
      </c>
      <c r="I51" t="str">
        <f t="shared" ca="1" si="7"/>
        <v>Atraso 30d</v>
      </c>
      <c r="J51" t="str">
        <f t="shared" ca="1" si="8"/>
        <v>Norte</v>
      </c>
      <c r="K51" t="str">
        <f t="shared" ca="1" si="9"/>
        <v>Joao Souza</v>
      </c>
    </row>
    <row r="52" spans="1:11" x14ac:dyDescent="0.25">
      <c r="A52" t="str">
        <f t="shared" si="1"/>
        <v>CLI-1050</v>
      </c>
      <c r="B52" s="1">
        <f t="shared" ca="1" si="2"/>
        <v>45936</v>
      </c>
      <c r="C52" t="str">
        <f t="shared" ca="1" si="3"/>
        <v>Credito Pessoal</v>
      </c>
      <c r="D52" s="2">
        <f t="shared" ca="1" si="10"/>
        <v>12000</v>
      </c>
      <c r="E52" s="3">
        <f t="shared" ca="1" si="0"/>
        <v>4.05</v>
      </c>
      <c r="F52" s="4">
        <f t="shared" ca="1" si="4"/>
        <v>360</v>
      </c>
      <c r="G52">
        <f t="shared" ca="1" si="5"/>
        <v>862</v>
      </c>
      <c r="H52" t="str">
        <f t="shared" ca="1" si="6"/>
        <v>Baixo</v>
      </c>
      <c r="I52" t="str">
        <f t="shared" ca="1" si="7"/>
        <v>Atraso 60d</v>
      </c>
      <c r="J52" t="str">
        <f t="shared" ca="1" si="8"/>
        <v>Centro-Oeste</v>
      </c>
      <c r="K52" t="str">
        <f t="shared" ca="1" si="9"/>
        <v>Joao Souza</v>
      </c>
    </row>
    <row r="53" spans="1:11" x14ac:dyDescent="0.25">
      <c r="A53" t="str">
        <f t="shared" si="1"/>
        <v>CLI-1051</v>
      </c>
      <c r="B53" s="1">
        <f t="shared" ca="1" si="2"/>
        <v>45980</v>
      </c>
      <c r="C53" t="str">
        <f t="shared" ca="1" si="3"/>
        <v>Credito Imobiliario</v>
      </c>
      <c r="D53" s="2">
        <f t="shared" ca="1" si="10"/>
        <v>80000</v>
      </c>
      <c r="E53" s="3">
        <f t="shared" ca="1" si="0"/>
        <v>1.97</v>
      </c>
      <c r="F53" s="4">
        <f t="shared" ca="1" si="4"/>
        <v>120</v>
      </c>
      <c r="G53">
        <f t="shared" ca="1" si="5"/>
        <v>498</v>
      </c>
      <c r="H53" t="str">
        <f t="shared" ca="1" si="6"/>
        <v>Alto</v>
      </c>
      <c r="I53" t="str">
        <f t="shared" ca="1" si="7"/>
        <v>Em Dia</v>
      </c>
      <c r="J53" t="str">
        <f t="shared" ca="1" si="8"/>
        <v>Sul</v>
      </c>
      <c r="K53" t="str">
        <f t="shared" ca="1" si="9"/>
        <v>Joao Souza</v>
      </c>
    </row>
    <row r="54" spans="1:11" x14ac:dyDescent="0.25">
      <c r="A54" t="str">
        <f t="shared" si="1"/>
        <v>CLI-1052</v>
      </c>
      <c r="B54" s="1">
        <f t="shared" ca="1" si="2"/>
        <v>45779</v>
      </c>
      <c r="C54" t="str">
        <f t="shared" ca="1" si="3"/>
        <v>Cartao de Credito</v>
      </c>
      <c r="D54" s="2">
        <f t="shared" ca="1" si="10"/>
        <v>300000</v>
      </c>
      <c r="E54" s="3">
        <f t="shared" ca="1" si="0"/>
        <v>1.77</v>
      </c>
      <c r="F54" s="4">
        <f t="shared" ca="1" si="4"/>
        <v>120</v>
      </c>
      <c r="G54">
        <f t="shared" ca="1" si="5"/>
        <v>342</v>
      </c>
      <c r="H54" t="str">
        <f t="shared" ca="1" si="6"/>
        <v>Alto</v>
      </c>
      <c r="I54" t="str">
        <f t="shared" ca="1" si="7"/>
        <v>Em Dia</v>
      </c>
      <c r="J54" t="str">
        <f t="shared" ca="1" si="8"/>
        <v>Sudeste</v>
      </c>
      <c r="K54" t="str">
        <f t="shared" ca="1" si="9"/>
        <v>Maria Lima</v>
      </c>
    </row>
    <row r="55" spans="1:11" x14ac:dyDescent="0.25">
      <c r="A55" t="str">
        <f t="shared" si="1"/>
        <v>CLI-1053</v>
      </c>
      <c r="B55" s="1">
        <f t="shared" ca="1" si="2"/>
        <v>46110</v>
      </c>
      <c r="C55" t="str">
        <f t="shared" ca="1" si="3"/>
        <v>Credito Pessoal</v>
      </c>
      <c r="D55" s="2">
        <f t="shared" ca="1" si="10"/>
        <v>45000</v>
      </c>
      <c r="E55" s="3">
        <f t="shared" ca="1" si="0"/>
        <v>1.66</v>
      </c>
      <c r="F55" s="4">
        <f t="shared" ca="1" si="4"/>
        <v>36</v>
      </c>
      <c r="G55">
        <f t="shared" ca="1" si="5"/>
        <v>489</v>
      </c>
      <c r="H55" t="str">
        <f t="shared" ca="1" si="6"/>
        <v>Alto</v>
      </c>
      <c r="I55" t="str">
        <f t="shared" ca="1" si="7"/>
        <v>Atraso 60d</v>
      </c>
      <c r="J55" t="str">
        <f t="shared" ca="1" si="8"/>
        <v>Norte</v>
      </c>
      <c r="K55" t="str">
        <f t="shared" ca="1" si="9"/>
        <v>Joao Souza</v>
      </c>
    </row>
    <row r="56" spans="1:11" x14ac:dyDescent="0.25">
      <c r="A56" t="str">
        <f t="shared" si="1"/>
        <v>CLI-1054</v>
      </c>
      <c r="B56" s="1">
        <f t="shared" ca="1" si="2"/>
        <v>45825</v>
      </c>
      <c r="C56" t="str">
        <f t="shared" ca="1" si="3"/>
        <v>Credito Consignado</v>
      </c>
      <c r="D56" s="2">
        <f t="shared" ca="1" si="10"/>
        <v>45000</v>
      </c>
      <c r="E56" s="3">
        <f t="shared" ca="1" si="0"/>
        <v>1.1399999999999999</v>
      </c>
      <c r="F56" s="4">
        <f t="shared" ca="1" si="4"/>
        <v>48</v>
      </c>
      <c r="G56">
        <f t="shared" ca="1" si="5"/>
        <v>321</v>
      </c>
      <c r="H56" t="str">
        <f t="shared" ca="1" si="6"/>
        <v>Alto</v>
      </c>
      <c r="I56" t="str">
        <f t="shared" ca="1" si="7"/>
        <v>Atraso 60d</v>
      </c>
      <c r="J56" t="str">
        <f t="shared" ca="1" si="8"/>
        <v>Sul</v>
      </c>
      <c r="K56" t="str">
        <f t="shared" ca="1" si="9"/>
        <v>Pedro Costa</v>
      </c>
    </row>
    <row r="57" spans="1:11" x14ac:dyDescent="0.25">
      <c r="A57" t="str">
        <f t="shared" si="1"/>
        <v>CLI-1055</v>
      </c>
      <c r="B57" s="1">
        <f t="shared" ca="1" si="2"/>
        <v>46097</v>
      </c>
      <c r="C57" t="str">
        <f t="shared" ca="1" si="3"/>
        <v>Credito Pessoal</v>
      </c>
      <c r="D57" s="2">
        <f t="shared" ca="1" si="10"/>
        <v>80000</v>
      </c>
      <c r="E57" s="3">
        <f t="shared" ca="1" si="0"/>
        <v>2.84</v>
      </c>
      <c r="F57" s="4">
        <f t="shared" ca="1" si="4"/>
        <v>12</v>
      </c>
      <c r="G57">
        <f t="shared" ca="1" si="5"/>
        <v>375</v>
      </c>
      <c r="H57" t="str">
        <f t="shared" ca="1" si="6"/>
        <v>Alto</v>
      </c>
      <c r="I57" t="str">
        <f t="shared" ca="1" si="7"/>
        <v>Em Dia</v>
      </c>
      <c r="J57" t="str">
        <f t="shared" ca="1" si="8"/>
        <v>Norte</v>
      </c>
      <c r="K57" t="str">
        <f t="shared" ca="1" si="9"/>
        <v>Carlos Mendes</v>
      </c>
    </row>
    <row r="58" spans="1:11" x14ac:dyDescent="0.25">
      <c r="A58" t="str">
        <f t="shared" si="1"/>
        <v>CLI-1056</v>
      </c>
      <c r="B58" s="1">
        <f t="shared" ca="1" si="2"/>
        <v>46253</v>
      </c>
      <c r="C58" t="str">
        <f t="shared" ca="1" si="3"/>
        <v>Credito Imobiliario</v>
      </c>
      <c r="D58" s="2">
        <f t="shared" ca="1" si="10"/>
        <v>150000</v>
      </c>
      <c r="E58" s="3">
        <f t="shared" ca="1" si="0"/>
        <v>0.93</v>
      </c>
      <c r="F58" s="4">
        <f t="shared" ca="1" si="4"/>
        <v>48</v>
      </c>
      <c r="G58">
        <f t="shared" ca="1" si="5"/>
        <v>566</v>
      </c>
      <c r="H58" t="str">
        <f t="shared" ca="1" si="6"/>
        <v>Alto</v>
      </c>
      <c r="I58" t="str">
        <f t="shared" ca="1" si="7"/>
        <v>Atraso 60d</v>
      </c>
      <c r="J58" t="str">
        <f t="shared" ca="1" si="8"/>
        <v>Sul</v>
      </c>
      <c r="K58" t="str">
        <f t="shared" ca="1" si="9"/>
        <v>Joao Souza</v>
      </c>
    </row>
    <row r="59" spans="1:11" x14ac:dyDescent="0.25">
      <c r="A59" t="str">
        <f t="shared" si="1"/>
        <v>CLI-1057</v>
      </c>
      <c r="B59" s="1">
        <f t="shared" ca="1" si="2"/>
        <v>45904</v>
      </c>
      <c r="C59" t="str">
        <f t="shared" ca="1" si="3"/>
        <v>Financiamento Veiculo</v>
      </c>
      <c r="D59" s="2">
        <f t="shared" ca="1" si="10"/>
        <v>300000</v>
      </c>
      <c r="E59" s="3">
        <f t="shared" ca="1" si="0"/>
        <v>2.0099999999999998</v>
      </c>
      <c r="F59" s="4">
        <f t="shared" ca="1" si="4"/>
        <v>48</v>
      </c>
      <c r="G59">
        <f t="shared" ca="1" si="5"/>
        <v>717</v>
      </c>
      <c r="H59" t="str">
        <f t="shared" ca="1" si="6"/>
        <v>Medio</v>
      </c>
      <c r="I59" t="str">
        <f t="shared" ca="1" si="7"/>
        <v>Em Dia</v>
      </c>
      <c r="J59" t="str">
        <f t="shared" ca="1" si="8"/>
        <v>Sul</v>
      </c>
      <c r="K59" t="str">
        <f t="shared" ca="1" si="9"/>
        <v>Pedro Costa</v>
      </c>
    </row>
    <row r="60" spans="1:11" x14ac:dyDescent="0.25">
      <c r="A60" t="str">
        <f t="shared" si="1"/>
        <v>CLI-1058</v>
      </c>
      <c r="B60" s="1">
        <f t="shared" ca="1" si="2"/>
        <v>45830</v>
      </c>
      <c r="C60" t="str">
        <f t="shared" ca="1" si="3"/>
        <v>Cartao de Credito</v>
      </c>
      <c r="D60" s="2">
        <f t="shared" ca="1" si="10"/>
        <v>12000</v>
      </c>
      <c r="E60" s="3">
        <f t="shared" ca="1" si="0"/>
        <v>4.2699999999999996</v>
      </c>
      <c r="F60" s="4">
        <f t="shared" ca="1" si="4"/>
        <v>60</v>
      </c>
      <c r="G60">
        <f t="shared" ca="1" si="5"/>
        <v>755</v>
      </c>
      <c r="H60" t="str">
        <f t="shared" ca="1" si="6"/>
        <v>Baixo</v>
      </c>
      <c r="I60" t="str">
        <f t="shared" ca="1" si="7"/>
        <v>Em Dia</v>
      </c>
      <c r="J60" t="str">
        <f t="shared" ca="1" si="8"/>
        <v>Sudeste</v>
      </c>
      <c r="K60" t="str">
        <f t="shared" ca="1" si="9"/>
        <v>Ana Silva</v>
      </c>
    </row>
    <row r="61" spans="1:11" x14ac:dyDescent="0.25">
      <c r="A61" t="str">
        <f t="shared" si="1"/>
        <v>CLI-1059</v>
      </c>
      <c r="B61" s="1">
        <f t="shared" ca="1" si="2"/>
        <v>46046</v>
      </c>
      <c r="C61" t="str">
        <f t="shared" ca="1" si="3"/>
        <v>Credito Imobiliario</v>
      </c>
      <c r="D61" s="2">
        <f t="shared" ca="1" si="10"/>
        <v>25000</v>
      </c>
      <c r="E61" s="3">
        <f t="shared" ca="1" si="0"/>
        <v>4.03</v>
      </c>
      <c r="F61" s="4">
        <f t="shared" ca="1" si="4"/>
        <v>24</v>
      </c>
      <c r="G61">
        <f t="shared" ca="1" si="5"/>
        <v>409</v>
      </c>
      <c r="H61" t="str">
        <f t="shared" ca="1" si="6"/>
        <v>Alto</v>
      </c>
      <c r="I61" t="str">
        <f t="shared" ca="1" si="7"/>
        <v>Atraso 60d</v>
      </c>
      <c r="J61" t="str">
        <f t="shared" ca="1" si="8"/>
        <v>Centro-Oeste</v>
      </c>
      <c r="K61" t="str">
        <f t="shared" ca="1" si="9"/>
        <v>Maria Lima</v>
      </c>
    </row>
    <row r="62" spans="1:11" x14ac:dyDescent="0.25">
      <c r="A62" t="str">
        <f t="shared" si="1"/>
        <v>CLI-1060</v>
      </c>
      <c r="B62" s="1">
        <f t="shared" ca="1" si="2"/>
        <v>46213</v>
      </c>
      <c r="C62" t="str">
        <f t="shared" ca="1" si="3"/>
        <v>Credito Pessoal</v>
      </c>
      <c r="D62" s="2">
        <f t="shared" ca="1" si="10"/>
        <v>25000</v>
      </c>
      <c r="E62" s="3">
        <f t="shared" ca="1" si="0"/>
        <v>2.88</v>
      </c>
      <c r="F62" s="4">
        <f t="shared" ca="1" si="4"/>
        <v>36</v>
      </c>
      <c r="G62">
        <f t="shared" ca="1" si="5"/>
        <v>516</v>
      </c>
      <c r="H62" t="str">
        <f t="shared" ca="1" si="6"/>
        <v>Alto</v>
      </c>
      <c r="I62" t="str">
        <f t="shared" ca="1" si="7"/>
        <v>Em Dia</v>
      </c>
      <c r="J62" t="str">
        <f t="shared" ca="1" si="8"/>
        <v>Sudeste</v>
      </c>
      <c r="K62" t="str">
        <f t="shared" ca="1" si="9"/>
        <v>Carlos Mendes</v>
      </c>
    </row>
    <row r="63" spans="1:11" x14ac:dyDescent="0.25">
      <c r="A63" t="str">
        <f t="shared" si="1"/>
        <v>CLI-1061</v>
      </c>
      <c r="B63" s="1">
        <f t="shared" ca="1" si="2"/>
        <v>45762</v>
      </c>
      <c r="C63" t="str">
        <f t="shared" ca="1" si="3"/>
        <v>Credito Imobiliario</v>
      </c>
      <c r="D63" s="2">
        <f t="shared" ca="1" si="10"/>
        <v>300000</v>
      </c>
      <c r="E63" s="3">
        <f t="shared" ca="1" si="0"/>
        <v>0.99</v>
      </c>
      <c r="F63" s="4">
        <f t="shared" ca="1" si="4"/>
        <v>12</v>
      </c>
      <c r="G63">
        <f t="shared" ca="1" si="5"/>
        <v>875</v>
      </c>
      <c r="H63" t="str">
        <f t="shared" ca="1" si="6"/>
        <v>Baixo</v>
      </c>
      <c r="I63" t="str">
        <f t="shared" ca="1" si="7"/>
        <v>Em Dia</v>
      </c>
      <c r="J63" t="str">
        <f t="shared" ca="1" si="8"/>
        <v>Sudeste</v>
      </c>
      <c r="K63" t="str">
        <f t="shared" ca="1" si="9"/>
        <v>Carlos Mendes</v>
      </c>
    </row>
    <row r="64" spans="1:11" x14ac:dyDescent="0.25">
      <c r="A64" t="str">
        <f t="shared" si="1"/>
        <v>CLI-1062</v>
      </c>
      <c r="B64" s="1">
        <f t="shared" ca="1" si="2"/>
        <v>45821</v>
      </c>
      <c r="C64" t="str">
        <f t="shared" ca="1" si="3"/>
        <v>Cartao de Credito</v>
      </c>
      <c r="D64" s="2">
        <f t="shared" ca="1" si="10"/>
        <v>45000</v>
      </c>
      <c r="E64" s="3">
        <f t="shared" ca="1" si="0"/>
        <v>1.74</v>
      </c>
      <c r="F64" s="4">
        <f t="shared" ca="1" si="4"/>
        <v>12</v>
      </c>
      <c r="G64">
        <f t="shared" ca="1" si="5"/>
        <v>769</v>
      </c>
      <c r="H64" t="str">
        <f t="shared" ca="1" si="6"/>
        <v>Baixo</v>
      </c>
      <c r="I64" t="str">
        <f t="shared" ca="1" si="7"/>
        <v>Inadimplente</v>
      </c>
      <c r="J64" t="str">
        <f t="shared" ca="1" si="8"/>
        <v>Nordeste</v>
      </c>
      <c r="K64" t="str">
        <f t="shared" ca="1" si="9"/>
        <v>Carlos Mendes</v>
      </c>
    </row>
    <row r="65" spans="1:11" x14ac:dyDescent="0.25">
      <c r="A65" t="str">
        <f t="shared" si="1"/>
        <v>CLI-1063</v>
      </c>
      <c r="B65" s="1">
        <f t="shared" ca="1" si="2"/>
        <v>45995</v>
      </c>
      <c r="C65" t="str">
        <f t="shared" ca="1" si="3"/>
        <v>Cartao de Credito</v>
      </c>
      <c r="D65" s="2">
        <f t="shared" ca="1" si="10"/>
        <v>25000</v>
      </c>
      <c r="E65" s="3">
        <f t="shared" ca="1" si="0"/>
        <v>4.49</v>
      </c>
      <c r="F65" s="4">
        <f t="shared" ca="1" si="4"/>
        <v>36</v>
      </c>
      <c r="G65">
        <f t="shared" ca="1" si="5"/>
        <v>731</v>
      </c>
      <c r="H65" t="str">
        <f t="shared" ca="1" si="6"/>
        <v>Medio</v>
      </c>
      <c r="I65" t="str">
        <f t="shared" ca="1" si="7"/>
        <v>Em Dia</v>
      </c>
      <c r="J65" t="str">
        <f t="shared" ca="1" si="8"/>
        <v>Nordeste</v>
      </c>
      <c r="K65" t="str">
        <f t="shared" ca="1" si="9"/>
        <v>Pedro Costa</v>
      </c>
    </row>
    <row r="66" spans="1:11" x14ac:dyDescent="0.25">
      <c r="A66" t="str">
        <f t="shared" si="1"/>
        <v>CLI-1064</v>
      </c>
      <c r="B66" s="1">
        <f t="shared" ca="1" si="2"/>
        <v>46233</v>
      </c>
      <c r="C66" t="str">
        <f t="shared" ca="1" si="3"/>
        <v>Credito Consignado</v>
      </c>
      <c r="D66" s="2">
        <f t="shared" ca="1" si="10"/>
        <v>5000</v>
      </c>
      <c r="E66" s="3">
        <f t="shared" ca="1" si="0"/>
        <v>1.58</v>
      </c>
      <c r="F66" s="4">
        <f t="shared" ca="1" si="4"/>
        <v>360</v>
      </c>
      <c r="G66">
        <f t="shared" ca="1" si="5"/>
        <v>459</v>
      </c>
      <c r="H66" t="str">
        <f t="shared" ca="1" si="6"/>
        <v>Alto</v>
      </c>
      <c r="I66" t="str">
        <f t="shared" ca="1" si="7"/>
        <v>Atraso 60d</v>
      </c>
      <c r="J66" t="str">
        <f t="shared" ca="1" si="8"/>
        <v>Sul</v>
      </c>
      <c r="K66" t="str">
        <f t="shared" ca="1" si="9"/>
        <v>Carlos Mendes</v>
      </c>
    </row>
    <row r="67" spans="1:11" x14ac:dyDescent="0.25">
      <c r="A67" t="str">
        <f t="shared" ref="A67:A130" si="11">"CLI-"&amp;ROW()+998</f>
        <v>CLI-1065</v>
      </c>
      <c r="B67" s="1">
        <f t="shared" ref="B67:B130" ca="1" si="12">TODAY()-RANDBETWEEN(1,500)</f>
        <v>45770</v>
      </c>
      <c r="C67" t="str">
        <f t="shared" ref="C67:C130" ca="1" si="13">CHOOSE(RANDBETWEEN(1,5),"Credito Pessoal","Financiamento Veiculo","Credito Consignado","Cartao de Credito","Credito Imobiliario")</f>
        <v>Credito Consignado</v>
      </c>
      <c r="D67" s="2">
        <f t="shared" ref="D67:D130" ca="1" si="14">CHOOSE(RANDBETWEEN(1,7),5000,12000,25000,45000,80000,150000,300000)</f>
        <v>12000</v>
      </c>
      <c r="E67" s="3">
        <f t="shared" ref="E67:E130" ca="1" si="15">RANDBETWEEN(60,450)/100</f>
        <v>4.25</v>
      </c>
      <c r="F67" s="4">
        <f t="shared" ref="F67:F130" ca="1" si="16">CHOOSE(RANDBETWEEN(1,7),12,24,36,48,60,120,360)</f>
        <v>36</v>
      </c>
      <c r="G67">
        <f t="shared" ref="G67:G130" ca="1" si="17">RANDBETWEEN(300,950)</f>
        <v>432</v>
      </c>
      <c r="H67" t="str">
        <f t="shared" ref="H67:H130" ca="1" si="18">IF(G67&gt;750,"Baixo",IF(G67&gt;600,"Medio","Alto"))</f>
        <v>Alto</v>
      </c>
      <c r="I67" t="str">
        <f t="shared" ref="I67:I130" ca="1" si="19">CHOOSE(RANDBETWEEN(1,7),"Em Dia","Em Dia","Em Dia","Em Dia","Atraso 30d","Atraso 60d","Inadimplente")</f>
        <v>Em Dia</v>
      </c>
      <c r="J67" t="str">
        <f t="shared" ref="J67:J130" ca="1" si="20">CHOOSE(RANDBETWEEN(1,5),"Sudeste","Sul","Nordeste","Centro-Oeste","Norte")</f>
        <v>Centro-Oeste</v>
      </c>
      <c r="K67" t="str">
        <f t="shared" ref="K67:K130" ca="1" si="21">CHOOSE(RANDBETWEEN(1,5),"Ana Silva","Carlos Mendes","Joao Souza","Maria Lima","Pedro Costa")</f>
        <v>Maria Lima</v>
      </c>
    </row>
    <row r="68" spans="1:11" x14ac:dyDescent="0.25">
      <c r="A68" t="str">
        <f t="shared" si="11"/>
        <v>CLI-1066</v>
      </c>
      <c r="B68" s="1">
        <f t="shared" ca="1" si="12"/>
        <v>46150</v>
      </c>
      <c r="C68" t="str">
        <f t="shared" ca="1" si="13"/>
        <v>Financiamento Veiculo</v>
      </c>
      <c r="D68" s="2">
        <f t="shared" ca="1" si="14"/>
        <v>45000</v>
      </c>
      <c r="E68" s="3">
        <f t="shared" ca="1" si="15"/>
        <v>3.23</v>
      </c>
      <c r="F68" s="4">
        <f t="shared" ca="1" si="16"/>
        <v>24</v>
      </c>
      <c r="G68">
        <f t="shared" ca="1" si="17"/>
        <v>843</v>
      </c>
      <c r="H68" t="str">
        <f t="shared" ca="1" si="18"/>
        <v>Baixo</v>
      </c>
      <c r="I68" t="str">
        <f t="shared" ca="1" si="19"/>
        <v>Em Dia</v>
      </c>
      <c r="J68" t="str">
        <f t="shared" ca="1" si="20"/>
        <v>Sul</v>
      </c>
      <c r="K68" t="str">
        <f t="shared" ca="1" si="21"/>
        <v>Carlos Mendes</v>
      </c>
    </row>
    <row r="69" spans="1:11" x14ac:dyDescent="0.25">
      <c r="A69" t="str">
        <f t="shared" si="11"/>
        <v>CLI-1067</v>
      </c>
      <c r="B69" s="1">
        <f t="shared" ca="1" si="12"/>
        <v>45832</v>
      </c>
      <c r="C69" t="str">
        <f t="shared" ca="1" si="13"/>
        <v>Credito Pessoal</v>
      </c>
      <c r="D69" s="2">
        <f t="shared" ca="1" si="14"/>
        <v>300000</v>
      </c>
      <c r="E69" s="3">
        <f t="shared" ca="1" si="15"/>
        <v>1.9</v>
      </c>
      <c r="F69" s="4">
        <f t="shared" ca="1" si="16"/>
        <v>12</v>
      </c>
      <c r="G69">
        <f t="shared" ca="1" si="17"/>
        <v>540</v>
      </c>
      <c r="H69" t="str">
        <f t="shared" ca="1" si="18"/>
        <v>Alto</v>
      </c>
      <c r="I69" t="str">
        <f t="shared" ca="1" si="19"/>
        <v>Em Dia</v>
      </c>
      <c r="J69" t="str">
        <f t="shared" ca="1" si="20"/>
        <v>Nordeste</v>
      </c>
      <c r="K69" t="str">
        <f t="shared" ca="1" si="21"/>
        <v>Maria Lima</v>
      </c>
    </row>
    <row r="70" spans="1:11" x14ac:dyDescent="0.25">
      <c r="A70" t="str">
        <f t="shared" si="11"/>
        <v>CLI-1068</v>
      </c>
      <c r="B70" s="1">
        <f t="shared" ca="1" si="12"/>
        <v>45920</v>
      </c>
      <c r="C70" t="str">
        <f t="shared" ca="1" si="13"/>
        <v>Credito Pessoal</v>
      </c>
      <c r="D70" s="2">
        <f t="shared" ca="1" si="14"/>
        <v>12000</v>
      </c>
      <c r="E70" s="3">
        <f t="shared" ca="1" si="15"/>
        <v>1.92</v>
      </c>
      <c r="F70" s="4">
        <f t="shared" ca="1" si="16"/>
        <v>48</v>
      </c>
      <c r="G70">
        <f t="shared" ca="1" si="17"/>
        <v>335</v>
      </c>
      <c r="H70" t="str">
        <f t="shared" ca="1" si="18"/>
        <v>Alto</v>
      </c>
      <c r="I70" t="str">
        <f t="shared" ca="1" si="19"/>
        <v>Inadimplente</v>
      </c>
      <c r="J70" t="str">
        <f t="shared" ca="1" si="20"/>
        <v>Sudeste</v>
      </c>
      <c r="K70" t="str">
        <f t="shared" ca="1" si="21"/>
        <v>Carlos Mendes</v>
      </c>
    </row>
    <row r="71" spans="1:11" x14ac:dyDescent="0.25">
      <c r="A71" t="str">
        <f t="shared" si="11"/>
        <v>CLI-1069</v>
      </c>
      <c r="B71" s="1">
        <f t="shared" ca="1" si="12"/>
        <v>46141</v>
      </c>
      <c r="C71" t="str">
        <f t="shared" ca="1" si="13"/>
        <v>Credito Consignado</v>
      </c>
      <c r="D71" s="2">
        <f t="shared" ca="1" si="14"/>
        <v>12000</v>
      </c>
      <c r="E71" s="3">
        <f t="shared" ca="1" si="15"/>
        <v>0.86</v>
      </c>
      <c r="F71" s="4">
        <f t="shared" ca="1" si="16"/>
        <v>24</v>
      </c>
      <c r="G71">
        <f t="shared" ca="1" si="17"/>
        <v>512</v>
      </c>
      <c r="H71" t="str">
        <f t="shared" ca="1" si="18"/>
        <v>Alto</v>
      </c>
      <c r="I71" t="str">
        <f t="shared" ca="1" si="19"/>
        <v>Em Dia</v>
      </c>
      <c r="J71" t="str">
        <f t="shared" ca="1" si="20"/>
        <v>Sul</v>
      </c>
      <c r="K71" t="str">
        <f t="shared" ca="1" si="21"/>
        <v>Maria Lima</v>
      </c>
    </row>
    <row r="72" spans="1:11" x14ac:dyDescent="0.25">
      <c r="A72" t="str">
        <f t="shared" si="11"/>
        <v>CLI-1070</v>
      </c>
      <c r="B72" s="1">
        <f t="shared" ca="1" si="12"/>
        <v>45780</v>
      </c>
      <c r="C72" t="str">
        <f t="shared" ca="1" si="13"/>
        <v>Cartao de Credito</v>
      </c>
      <c r="D72" s="2">
        <f t="shared" ca="1" si="14"/>
        <v>12000</v>
      </c>
      <c r="E72" s="3">
        <f t="shared" ca="1" si="15"/>
        <v>3.6</v>
      </c>
      <c r="F72" s="4">
        <f t="shared" ca="1" si="16"/>
        <v>360</v>
      </c>
      <c r="G72">
        <f t="shared" ca="1" si="17"/>
        <v>451</v>
      </c>
      <c r="H72" t="str">
        <f t="shared" ca="1" si="18"/>
        <v>Alto</v>
      </c>
      <c r="I72" t="str">
        <f t="shared" ca="1" si="19"/>
        <v>Em Dia</v>
      </c>
      <c r="J72" t="str">
        <f t="shared" ca="1" si="20"/>
        <v>Norte</v>
      </c>
      <c r="K72" t="str">
        <f t="shared" ca="1" si="21"/>
        <v>Pedro Costa</v>
      </c>
    </row>
    <row r="73" spans="1:11" x14ac:dyDescent="0.25">
      <c r="A73" t="str">
        <f t="shared" si="11"/>
        <v>CLI-1071</v>
      </c>
      <c r="B73" s="1">
        <f t="shared" ca="1" si="12"/>
        <v>45973</v>
      </c>
      <c r="C73" t="str">
        <f t="shared" ca="1" si="13"/>
        <v>Credito Imobiliario</v>
      </c>
      <c r="D73" s="2">
        <f t="shared" ca="1" si="14"/>
        <v>45000</v>
      </c>
      <c r="E73" s="3">
        <f t="shared" ca="1" si="15"/>
        <v>1.63</v>
      </c>
      <c r="F73" s="4">
        <f t="shared" ca="1" si="16"/>
        <v>360</v>
      </c>
      <c r="G73">
        <f t="shared" ca="1" si="17"/>
        <v>444</v>
      </c>
      <c r="H73" t="str">
        <f t="shared" ca="1" si="18"/>
        <v>Alto</v>
      </c>
      <c r="I73" t="str">
        <f t="shared" ca="1" si="19"/>
        <v>Em Dia</v>
      </c>
      <c r="J73" t="str">
        <f t="shared" ca="1" si="20"/>
        <v>Sul</v>
      </c>
      <c r="K73" t="str">
        <f t="shared" ca="1" si="21"/>
        <v>Joao Souza</v>
      </c>
    </row>
    <row r="74" spans="1:11" x14ac:dyDescent="0.25">
      <c r="A74" t="str">
        <f t="shared" si="11"/>
        <v>CLI-1072</v>
      </c>
      <c r="B74" s="1">
        <f t="shared" ca="1" si="12"/>
        <v>45790</v>
      </c>
      <c r="C74" t="str">
        <f t="shared" ca="1" si="13"/>
        <v>Credito Pessoal</v>
      </c>
      <c r="D74" s="2">
        <f t="shared" ca="1" si="14"/>
        <v>80000</v>
      </c>
      <c r="E74" s="3">
        <f t="shared" ca="1" si="15"/>
        <v>3.24</v>
      </c>
      <c r="F74" s="4">
        <f t="shared" ca="1" si="16"/>
        <v>60</v>
      </c>
      <c r="G74">
        <f t="shared" ca="1" si="17"/>
        <v>780</v>
      </c>
      <c r="H74" t="str">
        <f t="shared" ca="1" si="18"/>
        <v>Baixo</v>
      </c>
      <c r="I74" t="str">
        <f t="shared" ca="1" si="19"/>
        <v>Atraso 30d</v>
      </c>
      <c r="J74" t="str">
        <f t="shared" ca="1" si="20"/>
        <v>Centro-Oeste</v>
      </c>
      <c r="K74" t="str">
        <f t="shared" ca="1" si="21"/>
        <v>Ana Silva</v>
      </c>
    </row>
    <row r="75" spans="1:11" x14ac:dyDescent="0.25">
      <c r="A75" t="str">
        <f t="shared" si="11"/>
        <v>CLI-1073</v>
      </c>
      <c r="B75" s="1">
        <f t="shared" ca="1" si="12"/>
        <v>46008</v>
      </c>
      <c r="C75" t="str">
        <f t="shared" ca="1" si="13"/>
        <v>Credito Imobiliario</v>
      </c>
      <c r="D75" s="2">
        <f t="shared" ca="1" si="14"/>
        <v>25000</v>
      </c>
      <c r="E75" s="3">
        <f t="shared" ca="1" si="15"/>
        <v>1.34</v>
      </c>
      <c r="F75" s="4">
        <f t="shared" ca="1" si="16"/>
        <v>12</v>
      </c>
      <c r="G75">
        <f t="shared" ca="1" si="17"/>
        <v>786</v>
      </c>
      <c r="H75" t="str">
        <f t="shared" ca="1" si="18"/>
        <v>Baixo</v>
      </c>
      <c r="I75" t="str">
        <f t="shared" ca="1" si="19"/>
        <v>Inadimplente</v>
      </c>
      <c r="J75" t="str">
        <f t="shared" ca="1" si="20"/>
        <v>Centro-Oeste</v>
      </c>
      <c r="K75" t="str">
        <f t="shared" ca="1" si="21"/>
        <v>Pedro Costa</v>
      </c>
    </row>
    <row r="76" spans="1:11" x14ac:dyDescent="0.25">
      <c r="A76" t="str">
        <f t="shared" si="11"/>
        <v>CLI-1074</v>
      </c>
      <c r="B76" s="1">
        <f t="shared" ca="1" si="12"/>
        <v>45866</v>
      </c>
      <c r="C76" t="str">
        <f t="shared" ca="1" si="13"/>
        <v>Credito Pessoal</v>
      </c>
      <c r="D76" s="2">
        <f t="shared" ca="1" si="14"/>
        <v>45000</v>
      </c>
      <c r="E76" s="3">
        <f t="shared" ca="1" si="15"/>
        <v>2.8</v>
      </c>
      <c r="F76" s="4">
        <f t="shared" ca="1" si="16"/>
        <v>360</v>
      </c>
      <c r="G76">
        <f t="shared" ca="1" si="17"/>
        <v>604</v>
      </c>
      <c r="H76" t="str">
        <f t="shared" ca="1" si="18"/>
        <v>Medio</v>
      </c>
      <c r="I76" t="str">
        <f t="shared" ca="1" si="19"/>
        <v>Inadimplente</v>
      </c>
      <c r="J76" t="str">
        <f t="shared" ca="1" si="20"/>
        <v>Nordeste</v>
      </c>
      <c r="K76" t="str">
        <f t="shared" ca="1" si="21"/>
        <v>Joao Souza</v>
      </c>
    </row>
    <row r="77" spans="1:11" x14ac:dyDescent="0.25">
      <c r="A77" t="str">
        <f t="shared" si="11"/>
        <v>CLI-1075</v>
      </c>
      <c r="B77" s="1">
        <f t="shared" ca="1" si="12"/>
        <v>46026</v>
      </c>
      <c r="C77" t="str">
        <f t="shared" ca="1" si="13"/>
        <v>Cartao de Credito</v>
      </c>
      <c r="D77" s="2">
        <f t="shared" ca="1" si="14"/>
        <v>45000</v>
      </c>
      <c r="E77" s="3">
        <f t="shared" ca="1" si="15"/>
        <v>0.85</v>
      </c>
      <c r="F77" s="4">
        <f t="shared" ca="1" si="16"/>
        <v>120</v>
      </c>
      <c r="G77">
        <f t="shared" ca="1" si="17"/>
        <v>315</v>
      </c>
      <c r="H77" t="str">
        <f t="shared" ca="1" si="18"/>
        <v>Alto</v>
      </c>
      <c r="I77" t="str">
        <f t="shared" ca="1" si="19"/>
        <v>Atraso 60d</v>
      </c>
      <c r="J77" t="str">
        <f t="shared" ca="1" si="20"/>
        <v>Norte</v>
      </c>
      <c r="K77" t="str">
        <f t="shared" ca="1" si="21"/>
        <v>Joao Souza</v>
      </c>
    </row>
    <row r="78" spans="1:11" x14ac:dyDescent="0.25">
      <c r="A78" t="str">
        <f t="shared" si="11"/>
        <v>CLI-1076</v>
      </c>
      <c r="B78" s="1">
        <f t="shared" ca="1" si="12"/>
        <v>45963</v>
      </c>
      <c r="C78" t="str">
        <f t="shared" ca="1" si="13"/>
        <v>Credito Imobiliario</v>
      </c>
      <c r="D78" s="2">
        <f t="shared" ca="1" si="14"/>
        <v>300000</v>
      </c>
      <c r="E78" s="3">
        <f t="shared" ca="1" si="15"/>
        <v>3.6</v>
      </c>
      <c r="F78" s="4">
        <f t="shared" ca="1" si="16"/>
        <v>36</v>
      </c>
      <c r="G78">
        <f t="shared" ca="1" si="17"/>
        <v>728</v>
      </c>
      <c r="H78" t="str">
        <f t="shared" ca="1" si="18"/>
        <v>Medio</v>
      </c>
      <c r="I78" t="str">
        <f t="shared" ca="1" si="19"/>
        <v>Atraso 60d</v>
      </c>
      <c r="J78" t="str">
        <f t="shared" ca="1" si="20"/>
        <v>Nordeste</v>
      </c>
      <c r="K78" t="str">
        <f t="shared" ca="1" si="21"/>
        <v>Pedro Costa</v>
      </c>
    </row>
    <row r="79" spans="1:11" x14ac:dyDescent="0.25">
      <c r="A79" t="str">
        <f t="shared" si="11"/>
        <v>CLI-1077</v>
      </c>
      <c r="B79" s="1">
        <f t="shared" ca="1" si="12"/>
        <v>46227</v>
      </c>
      <c r="C79" t="str">
        <f t="shared" ca="1" si="13"/>
        <v>Financiamento Veiculo</v>
      </c>
      <c r="D79" s="2">
        <f t="shared" ca="1" si="14"/>
        <v>5000</v>
      </c>
      <c r="E79" s="3">
        <f t="shared" ca="1" si="15"/>
        <v>4.07</v>
      </c>
      <c r="F79" s="4">
        <f t="shared" ca="1" si="16"/>
        <v>360</v>
      </c>
      <c r="G79">
        <f t="shared" ca="1" si="17"/>
        <v>941</v>
      </c>
      <c r="H79" t="str">
        <f t="shared" ca="1" si="18"/>
        <v>Baixo</v>
      </c>
      <c r="I79" t="str">
        <f t="shared" ca="1" si="19"/>
        <v>Em Dia</v>
      </c>
      <c r="J79" t="str">
        <f t="shared" ca="1" si="20"/>
        <v>Centro-Oeste</v>
      </c>
      <c r="K79" t="str">
        <f t="shared" ca="1" si="21"/>
        <v>Pedro Costa</v>
      </c>
    </row>
    <row r="80" spans="1:11" x14ac:dyDescent="0.25">
      <c r="A80" t="str">
        <f t="shared" si="11"/>
        <v>CLI-1078</v>
      </c>
      <c r="B80" s="1">
        <f t="shared" ca="1" si="12"/>
        <v>46140</v>
      </c>
      <c r="C80" t="str">
        <f t="shared" ca="1" si="13"/>
        <v>Financiamento Veiculo</v>
      </c>
      <c r="D80" s="2">
        <f t="shared" ca="1" si="14"/>
        <v>5000</v>
      </c>
      <c r="E80" s="3">
        <f t="shared" ca="1" si="15"/>
        <v>2.9</v>
      </c>
      <c r="F80" s="4">
        <f t="shared" ca="1" si="16"/>
        <v>36</v>
      </c>
      <c r="G80">
        <f t="shared" ca="1" si="17"/>
        <v>875</v>
      </c>
      <c r="H80" t="str">
        <f t="shared" ca="1" si="18"/>
        <v>Baixo</v>
      </c>
      <c r="I80" t="str">
        <f t="shared" ca="1" si="19"/>
        <v>Em Dia</v>
      </c>
      <c r="J80" t="str">
        <f t="shared" ca="1" si="20"/>
        <v>Centro-Oeste</v>
      </c>
      <c r="K80" t="str">
        <f t="shared" ca="1" si="21"/>
        <v>Joao Souza</v>
      </c>
    </row>
    <row r="81" spans="1:11" x14ac:dyDescent="0.25">
      <c r="A81" t="str">
        <f t="shared" si="11"/>
        <v>CLI-1079</v>
      </c>
      <c r="B81" s="1">
        <f t="shared" ca="1" si="12"/>
        <v>45916</v>
      </c>
      <c r="C81" t="str">
        <f t="shared" ca="1" si="13"/>
        <v>Cartao de Credito</v>
      </c>
      <c r="D81" s="2">
        <f t="shared" ca="1" si="14"/>
        <v>45000</v>
      </c>
      <c r="E81" s="3">
        <f t="shared" ca="1" si="15"/>
        <v>1.02</v>
      </c>
      <c r="F81" s="4">
        <f t="shared" ca="1" si="16"/>
        <v>36</v>
      </c>
      <c r="G81">
        <f t="shared" ca="1" si="17"/>
        <v>876</v>
      </c>
      <c r="H81" t="str">
        <f t="shared" ca="1" si="18"/>
        <v>Baixo</v>
      </c>
      <c r="I81" t="str">
        <f t="shared" ca="1" si="19"/>
        <v>Em Dia</v>
      </c>
      <c r="J81" t="str">
        <f t="shared" ca="1" si="20"/>
        <v>Nordeste</v>
      </c>
      <c r="K81" t="str">
        <f t="shared" ca="1" si="21"/>
        <v>Joao Souza</v>
      </c>
    </row>
    <row r="82" spans="1:11" x14ac:dyDescent="0.25">
      <c r="A82" t="str">
        <f t="shared" si="11"/>
        <v>CLI-1080</v>
      </c>
      <c r="B82" s="1">
        <f t="shared" ca="1" si="12"/>
        <v>46246</v>
      </c>
      <c r="C82" t="str">
        <f t="shared" ca="1" si="13"/>
        <v>Credito Imobiliario</v>
      </c>
      <c r="D82" s="2">
        <f t="shared" ca="1" si="14"/>
        <v>5000</v>
      </c>
      <c r="E82" s="3">
        <f t="shared" ca="1" si="15"/>
        <v>4.2699999999999996</v>
      </c>
      <c r="F82" s="4">
        <f t="shared" ca="1" si="16"/>
        <v>60</v>
      </c>
      <c r="G82">
        <f t="shared" ca="1" si="17"/>
        <v>825</v>
      </c>
      <c r="H82" t="str">
        <f t="shared" ca="1" si="18"/>
        <v>Baixo</v>
      </c>
      <c r="I82" t="str">
        <f t="shared" ca="1" si="19"/>
        <v>Em Dia</v>
      </c>
      <c r="J82" t="str">
        <f t="shared" ca="1" si="20"/>
        <v>Norte</v>
      </c>
      <c r="K82" t="str">
        <f t="shared" ca="1" si="21"/>
        <v>Joao Souza</v>
      </c>
    </row>
    <row r="83" spans="1:11" x14ac:dyDescent="0.25">
      <c r="A83" t="str">
        <f t="shared" si="11"/>
        <v>CLI-1081</v>
      </c>
      <c r="B83" s="1">
        <f t="shared" ca="1" si="12"/>
        <v>45978</v>
      </c>
      <c r="C83" t="str">
        <f t="shared" ca="1" si="13"/>
        <v>Credito Consignado</v>
      </c>
      <c r="D83" s="2">
        <f t="shared" ca="1" si="14"/>
        <v>300000</v>
      </c>
      <c r="E83" s="3">
        <f t="shared" ca="1" si="15"/>
        <v>1.73</v>
      </c>
      <c r="F83" s="4">
        <f t="shared" ca="1" si="16"/>
        <v>36</v>
      </c>
      <c r="G83">
        <f t="shared" ca="1" si="17"/>
        <v>465</v>
      </c>
      <c r="H83" t="str">
        <f t="shared" ca="1" si="18"/>
        <v>Alto</v>
      </c>
      <c r="I83" t="str">
        <f t="shared" ca="1" si="19"/>
        <v>Em Dia</v>
      </c>
      <c r="J83" t="str">
        <f t="shared" ca="1" si="20"/>
        <v>Centro-Oeste</v>
      </c>
      <c r="K83" t="str">
        <f t="shared" ca="1" si="21"/>
        <v>Joao Souza</v>
      </c>
    </row>
    <row r="84" spans="1:11" x14ac:dyDescent="0.25">
      <c r="A84" t="str">
        <f t="shared" si="11"/>
        <v>CLI-1082</v>
      </c>
      <c r="B84" s="1">
        <f t="shared" ca="1" si="12"/>
        <v>45898</v>
      </c>
      <c r="C84" t="str">
        <f t="shared" ca="1" si="13"/>
        <v>Cartao de Credito</v>
      </c>
      <c r="D84" s="2">
        <f t="shared" ca="1" si="14"/>
        <v>45000</v>
      </c>
      <c r="E84" s="3">
        <f t="shared" ca="1" si="15"/>
        <v>4.01</v>
      </c>
      <c r="F84" s="4">
        <f t="shared" ca="1" si="16"/>
        <v>12</v>
      </c>
      <c r="G84">
        <f t="shared" ca="1" si="17"/>
        <v>362</v>
      </c>
      <c r="H84" t="str">
        <f t="shared" ca="1" si="18"/>
        <v>Alto</v>
      </c>
      <c r="I84" t="str">
        <f t="shared" ca="1" si="19"/>
        <v>Em Dia</v>
      </c>
      <c r="J84" t="str">
        <f t="shared" ca="1" si="20"/>
        <v>Sudeste</v>
      </c>
      <c r="K84" t="str">
        <f t="shared" ca="1" si="21"/>
        <v>Maria Lima</v>
      </c>
    </row>
    <row r="85" spans="1:11" x14ac:dyDescent="0.25">
      <c r="A85" t="str">
        <f t="shared" si="11"/>
        <v>CLI-1083</v>
      </c>
      <c r="B85" s="1">
        <f t="shared" ca="1" si="12"/>
        <v>45877</v>
      </c>
      <c r="C85" t="str">
        <f t="shared" ca="1" si="13"/>
        <v>Financiamento Veiculo</v>
      </c>
      <c r="D85" s="2">
        <f t="shared" ca="1" si="14"/>
        <v>80000</v>
      </c>
      <c r="E85" s="3">
        <f t="shared" ca="1" si="15"/>
        <v>2.9</v>
      </c>
      <c r="F85" s="4">
        <f t="shared" ca="1" si="16"/>
        <v>24</v>
      </c>
      <c r="G85">
        <f t="shared" ca="1" si="17"/>
        <v>720</v>
      </c>
      <c r="H85" t="str">
        <f t="shared" ca="1" si="18"/>
        <v>Medio</v>
      </c>
      <c r="I85" t="str">
        <f t="shared" ca="1" si="19"/>
        <v>Em Dia</v>
      </c>
      <c r="J85" t="str">
        <f t="shared" ca="1" si="20"/>
        <v>Centro-Oeste</v>
      </c>
      <c r="K85" t="str">
        <f t="shared" ca="1" si="21"/>
        <v>Pedro Costa</v>
      </c>
    </row>
    <row r="86" spans="1:11" x14ac:dyDescent="0.25">
      <c r="A86" t="str">
        <f t="shared" si="11"/>
        <v>CLI-1084</v>
      </c>
      <c r="B86" s="1">
        <f t="shared" ca="1" si="12"/>
        <v>45814</v>
      </c>
      <c r="C86" t="str">
        <f t="shared" ca="1" si="13"/>
        <v>Financiamento Veiculo</v>
      </c>
      <c r="D86" s="2">
        <f t="shared" ca="1" si="14"/>
        <v>12000</v>
      </c>
      <c r="E86" s="3">
        <f t="shared" ca="1" si="15"/>
        <v>0.63</v>
      </c>
      <c r="F86" s="4">
        <f t="shared" ca="1" si="16"/>
        <v>12</v>
      </c>
      <c r="G86">
        <f t="shared" ca="1" si="17"/>
        <v>544</v>
      </c>
      <c r="H86" t="str">
        <f t="shared" ca="1" si="18"/>
        <v>Alto</v>
      </c>
      <c r="I86" t="str">
        <f t="shared" ca="1" si="19"/>
        <v>Atraso 30d</v>
      </c>
      <c r="J86" t="str">
        <f t="shared" ca="1" si="20"/>
        <v>Norte</v>
      </c>
      <c r="K86" t="str">
        <f t="shared" ca="1" si="21"/>
        <v>Carlos Mendes</v>
      </c>
    </row>
    <row r="87" spans="1:11" x14ac:dyDescent="0.25">
      <c r="A87" t="str">
        <f t="shared" si="11"/>
        <v>CLI-1085</v>
      </c>
      <c r="B87" s="1">
        <f t="shared" ca="1" si="12"/>
        <v>45922</v>
      </c>
      <c r="C87" t="str">
        <f t="shared" ca="1" si="13"/>
        <v>Cartao de Credito</v>
      </c>
      <c r="D87" s="2">
        <f t="shared" ca="1" si="14"/>
        <v>300000</v>
      </c>
      <c r="E87" s="3">
        <f t="shared" ca="1" si="15"/>
        <v>2.4700000000000002</v>
      </c>
      <c r="F87" s="4">
        <f t="shared" ca="1" si="16"/>
        <v>24</v>
      </c>
      <c r="G87">
        <f t="shared" ca="1" si="17"/>
        <v>857</v>
      </c>
      <c r="H87" t="str">
        <f t="shared" ca="1" si="18"/>
        <v>Baixo</v>
      </c>
      <c r="I87" t="str">
        <f t="shared" ca="1" si="19"/>
        <v>Em Dia</v>
      </c>
      <c r="J87" t="str">
        <f t="shared" ca="1" si="20"/>
        <v>Nordeste</v>
      </c>
      <c r="K87" t="str">
        <f t="shared" ca="1" si="21"/>
        <v>Carlos Mendes</v>
      </c>
    </row>
    <row r="88" spans="1:11" x14ac:dyDescent="0.25">
      <c r="A88" t="str">
        <f t="shared" si="11"/>
        <v>CLI-1086</v>
      </c>
      <c r="B88" s="1">
        <f t="shared" ca="1" si="12"/>
        <v>46121</v>
      </c>
      <c r="C88" t="str">
        <f t="shared" ca="1" si="13"/>
        <v>Financiamento Veiculo</v>
      </c>
      <c r="D88" s="2">
        <f t="shared" ca="1" si="14"/>
        <v>25000</v>
      </c>
      <c r="E88" s="3">
        <f t="shared" ca="1" si="15"/>
        <v>4.25</v>
      </c>
      <c r="F88" s="4">
        <f t="shared" ca="1" si="16"/>
        <v>12</v>
      </c>
      <c r="G88">
        <f t="shared" ca="1" si="17"/>
        <v>459</v>
      </c>
      <c r="H88" t="str">
        <f t="shared" ca="1" si="18"/>
        <v>Alto</v>
      </c>
      <c r="I88" t="str">
        <f t="shared" ca="1" si="19"/>
        <v>Em Dia</v>
      </c>
      <c r="J88" t="str">
        <f t="shared" ca="1" si="20"/>
        <v>Nordeste</v>
      </c>
      <c r="K88" t="str">
        <f t="shared" ca="1" si="21"/>
        <v>Maria Lima</v>
      </c>
    </row>
    <row r="89" spans="1:11" x14ac:dyDescent="0.25">
      <c r="A89" t="str">
        <f t="shared" si="11"/>
        <v>CLI-1087</v>
      </c>
      <c r="B89" s="1">
        <f t="shared" ca="1" si="12"/>
        <v>45857</v>
      </c>
      <c r="C89" t="str">
        <f t="shared" ca="1" si="13"/>
        <v>Cartao de Credito</v>
      </c>
      <c r="D89" s="2">
        <f t="shared" ca="1" si="14"/>
        <v>45000</v>
      </c>
      <c r="E89" s="3">
        <f t="shared" ca="1" si="15"/>
        <v>2.67</v>
      </c>
      <c r="F89" s="4">
        <f t="shared" ca="1" si="16"/>
        <v>48</v>
      </c>
      <c r="G89">
        <f t="shared" ca="1" si="17"/>
        <v>595</v>
      </c>
      <c r="H89" t="str">
        <f t="shared" ca="1" si="18"/>
        <v>Alto</v>
      </c>
      <c r="I89" t="str">
        <f t="shared" ca="1" si="19"/>
        <v>Em Dia</v>
      </c>
      <c r="J89" t="str">
        <f t="shared" ca="1" si="20"/>
        <v>Nordeste</v>
      </c>
      <c r="K89" t="str">
        <f t="shared" ca="1" si="21"/>
        <v>Carlos Mendes</v>
      </c>
    </row>
    <row r="90" spans="1:11" x14ac:dyDescent="0.25">
      <c r="A90" t="str">
        <f t="shared" si="11"/>
        <v>CLI-1088</v>
      </c>
      <c r="B90" s="1">
        <f t="shared" ca="1" si="12"/>
        <v>45928</v>
      </c>
      <c r="C90" t="str">
        <f t="shared" ca="1" si="13"/>
        <v>Credito Consignado</v>
      </c>
      <c r="D90" s="2">
        <f t="shared" ca="1" si="14"/>
        <v>12000</v>
      </c>
      <c r="E90" s="3">
        <f t="shared" ca="1" si="15"/>
        <v>3.11</v>
      </c>
      <c r="F90" s="4">
        <f t="shared" ca="1" si="16"/>
        <v>12</v>
      </c>
      <c r="G90">
        <f t="shared" ca="1" si="17"/>
        <v>309</v>
      </c>
      <c r="H90" t="str">
        <f t="shared" ca="1" si="18"/>
        <v>Alto</v>
      </c>
      <c r="I90" t="str">
        <f t="shared" ca="1" si="19"/>
        <v>Em Dia</v>
      </c>
      <c r="J90" t="str">
        <f t="shared" ca="1" si="20"/>
        <v>Centro-Oeste</v>
      </c>
      <c r="K90" t="str">
        <f t="shared" ca="1" si="21"/>
        <v>Maria Lima</v>
      </c>
    </row>
    <row r="91" spans="1:11" x14ac:dyDescent="0.25">
      <c r="A91" t="str">
        <f t="shared" si="11"/>
        <v>CLI-1089</v>
      </c>
      <c r="B91" s="1">
        <f t="shared" ca="1" si="12"/>
        <v>45860</v>
      </c>
      <c r="C91" t="str">
        <f t="shared" ca="1" si="13"/>
        <v>Financiamento Veiculo</v>
      </c>
      <c r="D91" s="2">
        <f t="shared" ca="1" si="14"/>
        <v>150000</v>
      </c>
      <c r="E91" s="3">
        <f t="shared" ca="1" si="15"/>
        <v>2.0099999999999998</v>
      </c>
      <c r="F91" s="4">
        <f t="shared" ca="1" si="16"/>
        <v>120</v>
      </c>
      <c r="G91">
        <f t="shared" ca="1" si="17"/>
        <v>858</v>
      </c>
      <c r="H91" t="str">
        <f t="shared" ca="1" si="18"/>
        <v>Baixo</v>
      </c>
      <c r="I91" t="str">
        <f t="shared" ca="1" si="19"/>
        <v>Inadimplente</v>
      </c>
      <c r="J91" t="str">
        <f t="shared" ca="1" si="20"/>
        <v>Sul</v>
      </c>
      <c r="K91" t="str">
        <f t="shared" ca="1" si="21"/>
        <v>Carlos Mendes</v>
      </c>
    </row>
    <row r="92" spans="1:11" x14ac:dyDescent="0.25">
      <c r="A92" t="str">
        <f t="shared" si="11"/>
        <v>CLI-1090</v>
      </c>
      <c r="B92" s="1">
        <f t="shared" ca="1" si="12"/>
        <v>46043</v>
      </c>
      <c r="C92" t="str">
        <f t="shared" ca="1" si="13"/>
        <v>Financiamento Veiculo</v>
      </c>
      <c r="D92" s="2">
        <f t="shared" ca="1" si="14"/>
        <v>300000</v>
      </c>
      <c r="E92" s="3">
        <f t="shared" ca="1" si="15"/>
        <v>1.63</v>
      </c>
      <c r="F92" s="4">
        <f t="shared" ca="1" si="16"/>
        <v>12</v>
      </c>
      <c r="G92">
        <f t="shared" ca="1" si="17"/>
        <v>879</v>
      </c>
      <c r="H92" t="str">
        <f t="shared" ca="1" si="18"/>
        <v>Baixo</v>
      </c>
      <c r="I92" t="str">
        <f t="shared" ca="1" si="19"/>
        <v>Em Dia</v>
      </c>
      <c r="J92" t="str">
        <f t="shared" ca="1" si="20"/>
        <v>Centro-Oeste</v>
      </c>
      <c r="K92" t="str">
        <f t="shared" ca="1" si="21"/>
        <v>Pedro Costa</v>
      </c>
    </row>
    <row r="93" spans="1:11" x14ac:dyDescent="0.25">
      <c r="A93" t="str">
        <f t="shared" si="11"/>
        <v>CLI-1091</v>
      </c>
      <c r="B93" s="1">
        <f t="shared" ca="1" si="12"/>
        <v>45987</v>
      </c>
      <c r="C93" t="str">
        <f t="shared" ca="1" si="13"/>
        <v>Credito Pessoal</v>
      </c>
      <c r="D93" s="2">
        <f t="shared" ca="1" si="14"/>
        <v>5000</v>
      </c>
      <c r="E93" s="3">
        <f t="shared" ca="1" si="15"/>
        <v>3.53</v>
      </c>
      <c r="F93" s="4">
        <f t="shared" ca="1" si="16"/>
        <v>12</v>
      </c>
      <c r="G93">
        <f t="shared" ca="1" si="17"/>
        <v>408</v>
      </c>
      <c r="H93" t="str">
        <f t="shared" ca="1" si="18"/>
        <v>Alto</v>
      </c>
      <c r="I93" t="str">
        <f t="shared" ca="1" si="19"/>
        <v>Inadimplente</v>
      </c>
      <c r="J93" t="str">
        <f t="shared" ca="1" si="20"/>
        <v>Sudeste</v>
      </c>
      <c r="K93" t="str">
        <f t="shared" ca="1" si="21"/>
        <v>Pedro Costa</v>
      </c>
    </row>
    <row r="94" spans="1:11" x14ac:dyDescent="0.25">
      <c r="A94" t="str">
        <f t="shared" si="11"/>
        <v>CLI-1092</v>
      </c>
      <c r="B94" s="1">
        <f t="shared" ca="1" si="12"/>
        <v>45895</v>
      </c>
      <c r="C94" t="str">
        <f t="shared" ca="1" si="13"/>
        <v>Credito Pessoal</v>
      </c>
      <c r="D94" s="2">
        <f t="shared" ca="1" si="14"/>
        <v>80000</v>
      </c>
      <c r="E94" s="3">
        <f t="shared" ca="1" si="15"/>
        <v>2.6</v>
      </c>
      <c r="F94" s="4">
        <f t="shared" ca="1" si="16"/>
        <v>120</v>
      </c>
      <c r="G94">
        <f t="shared" ca="1" si="17"/>
        <v>504</v>
      </c>
      <c r="H94" t="str">
        <f t="shared" ca="1" si="18"/>
        <v>Alto</v>
      </c>
      <c r="I94" t="str">
        <f t="shared" ca="1" si="19"/>
        <v>Em Dia</v>
      </c>
      <c r="J94" t="str">
        <f t="shared" ca="1" si="20"/>
        <v>Norte</v>
      </c>
      <c r="K94" t="str">
        <f t="shared" ca="1" si="21"/>
        <v>Maria Lima</v>
      </c>
    </row>
    <row r="95" spans="1:11" x14ac:dyDescent="0.25">
      <c r="A95" t="str">
        <f t="shared" si="11"/>
        <v>CLI-1093</v>
      </c>
      <c r="B95" s="1">
        <f t="shared" ca="1" si="12"/>
        <v>45793</v>
      </c>
      <c r="C95" t="str">
        <f t="shared" ca="1" si="13"/>
        <v>Credito Pessoal</v>
      </c>
      <c r="D95" s="2">
        <f t="shared" ca="1" si="14"/>
        <v>25000</v>
      </c>
      <c r="E95" s="3">
        <f t="shared" ca="1" si="15"/>
        <v>2.52</v>
      </c>
      <c r="F95" s="4">
        <f t="shared" ca="1" si="16"/>
        <v>48</v>
      </c>
      <c r="G95">
        <f t="shared" ca="1" si="17"/>
        <v>941</v>
      </c>
      <c r="H95" t="str">
        <f t="shared" ca="1" si="18"/>
        <v>Baixo</v>
      </c>
      <c r="I95" t="str">
        <f t="shared" ca="1" si="19"/>
        <v>Em Dia</v>
      </c>
      <c r="J95" t="str">
        <f t="shared" ca="1" si="20"/>
        <v>Sul</v>
      </c>
      <c r="K95" t="str">
        <f t="shared" ca="1" si="21"/>
        <v>Maria Lima</v>
      </c>
    </row>
    <row r="96" spans="1:11" x14ac:dyDescent="0.25">
      <c r="A96" t="str">
        <f t="shared" si="11"/>
        <v>CLI-1094</v>
      </c>
      <c r="B96" s="1">
        <f t="shared" ca="1" si="12"/>
        <v>46165</v>
      </c>
      <c r="C96" t="str">
        <f t="shared" ca="1" si="13"/>
        <v>Credito Imobiliario</v>
      </c>
      <c r="D96" s="2">
        <f t="shared" ca="1" si="14"/>
        <v>25000</v>
      </c>
      <c r="E96" s="3">
        <f t="shared" ca="1" si="15"/>
        <v>1.1299999999999999</v>
      </c>
      <c r="F96" s="4">
        <f t="shared" ca="1" si="16"/>
        <v>120</v>
      </c>
      <c r="G96">
        <f t="shared" ca="1" si="17"/>
        <v>593</v>
      </c>
      <c r="H96" t="str">
        <f t="shared" ca="1" si="18"/>
        <v>Alto</v>
      </c>
      <c r="I96" t="str">
        <f t="shared" ca="1" si="19"/>
        <v>Em Dia</v>
      </c>
      <c r="J96" t="str">
        <f t="shared" ca="1" si="20"/>
        <v>Sul</v>
      </c>
      <c r="K96" t="str">
        <f t="shared" ca="1" si="21"/>
        <v>Pedro Costa</v>
      </c>
    </row>
    <row r="97" spans="1:11" x14ac:dyDescent="0.25">
      <c r="A97" t="str">
        <f t="shared" si="11"/>
        <v>CLI-1095</v>
      </c>
      <c r="B97" s="1">
        <f t="shared" ca="1" si="12"/>
        <v>45787</v>
      </c>
      <c r="C97" t="str">
        <f t="shared" ca="1" si="13"/>
        <v>Credito Pessoal</v>
      </c>
      <c r="D97" s="2">
        <f t="shared" ca="1" si="14"/>
        <v>300000</v>
      </c>
      <c r="E97" s="3">
        <f t="shared" ca="1" si="15"/>
        <v>3.45</v>
      </c>
      <c r="F97" s="4">
        <f t="shared" ca="1" si="16"/>
        <v>36</v>
      </c>
      <c r="G97">
        <f t="shared" ca="1" si="17"/>
        <v>452</v>
      </c>
      <c r="H97" t="str">
        <f t="shared" ca="1" si="18"/>
        <v>Alto</v>
      </c>
      <c r="I97" t="str">
        <f t="shared" ca="1" si="19"/>
        <v>Em Dia</v>
      </c>
      <c r="J97" t="str">
        <f t="shared" ca="1" si="20"/>
        <v>Sudeste</v>
      </c>
      <c r="K97" t="str">
        <f t="shared" ca="1" si="21"/>
        <v>Maria Lima</v>
      </c>
    </row>
    <row r="98" spans="1:11" x14ac:dyDescent="0.25">
      <c r="A98" t="str">
        <f t="shared" si="11"/>
        <v>CLI-1096</v>
      </c>
      <c r="B98" s="1">
        <f t="shared" ca="1" si="12"/>
        <v>46052</v>
      </c>
      <c r="C98" t="str">
        <f t="shared" ca="1" si="13"/>
        <v>Financiamento Veiculo</v>
      </c>
      <c r="D98" s="2">
        <f t="shared" ca="1" si="14"/>
        <v>5000</v>
      </c>
      <c r="E98" s="3">
        <f t="shared" ca="1" si="15"/>
        <v>4.16</v>
      </c>
      <c r="F98" s="4">
        <f t="shared" ca="1" si="16"/>
        <v>360</v>
      </c>
      <c r="G98">
        <f t="shared" ca="1" si="17"/>
        <v>790</v>
      </c>
      <c r="H98" t="str">
        <f t="shared" ca="1" si="18"/>
        <v>Baixo</v>
      </c>
      <c r="I98" t="str">
        <f t="shared" ca="1" si="19"/>
        <v>Em Dia</v>
      </c>
      <c r="J98" t="str">
        <f t="shared" ca="1" si="20"/>
        <v>Centro-Oeste</v>
      </c>
      <c r="K98" t="str">
        <f t="shared" ca="1" si="21"/>
        <v>Joao Souza</v>
      </c>
    </row>
    <row r="99" spans="1:11" x14ac:dyDescent="0.25">
      <c r="A99" t="str">
        <f t="shared" si="11"/>
        <v>CLI-1097</v>
      </c>
      <c r="B99" s="1">
        <f t="shared" ca="1" si="12"/>
        <v>46100</v>
      </c>
      <c r="C99" t="str">
        <f t="shared" ca="1" si="13"/>
        <v>Credito Imobiliario</v>
      </c>
      <c r="D99" s="2">
        <f t="shared" ca="1" si="14"/>
        <v>25000</v>
      </c>
      <c r="E99" s="3">
        <f t="shared" ca="1" si="15"/>
        <v>1.52</v>
      </c>
      <c r="F99" s="4">
        <f t="shared" ca="1" si="16"/>
        <v>24</v>
      </c>
      <c r="G99">
        <f t="shared" ca="1" si="17"/>
        <v>941</v>
      </c>
      <c r="H99" t="str">
        <f t="shared" ca="1" si="18"/>
        <v>Baixo</v>
      </c>
      <c r="I99" t="str">
        <f t="shared" ca="1" si="19"/>
        <v>Em Dia</v>
      </c>
      <c r="J99" t="str">
        <f t="shared" ca="1" si="20"/>
        <v>Sudeste</v>
      </c>
      <c r="K99" t="str">
        <f t="shared" ca="1" si="21"/>
        <v>Ana Silva</v>
      </c>
    </row>
    <row r="100" spans="1:11" x14ac:dyDescent="0.25">
      <c r="A100" t="str">
        <f t="shared" si="11"/>
        <v>CLI-1098</v>
      </c>
      <c r="B100" s="1">
        <f t="shared" ca="1" si="12"/>
        <v>46062</v>
      </c>
      <c r="C100" t="str">
        <f t="shared" ca="1" si="13"/>
        <v>Credito Pessoal</v>
      </c>
      <c r="D100" s="2">
        <f t="shared" ca="1" si="14"/>
        <v>150000</v>
      </c>
      <c r="E100" s="3">
        <f t="shared" ca="1" si="15"/>
        <v>2.4700000000000002</v>
      </c>
      <c r="F100" s="4">
        <f t="shared" ca="1" si="16"/>
        <v>12</v>
      </c>
      <c r="G100">
        <f t="shared" ca="1" si="17"/>
        <v>504</v>
      </c>
      <c r="H100" t="str">
        <f t="shared" ca="1" si="18"/>
        <v>Alto</v>
      </c>
      <c r="I100" t="str">
        <f t="shared" ca="1" si="19"/>
        <v>Em Dia</v>
      </c>
      <c r="J100" t="str">
        <f t="shared" ca="1" si="20"/>
        <v>Sudeste</v>
      </c>
      <c r="K100" t="str">
        <f t="shared" ca="1" si="21"/>
        <v>Pedro Costa</v>
      </c>
    </row>
    <row r="101" spans="1:11" x14ac:dyDescent="0.25">
      <c r="A101" t="str">
        <f t="shared" si="11"/>
        <v>CLI-1099</v>
      </c>
      <c r="B101" s="1">
        <f t="shared" ca="1" si="12"/>
        <v>46033</v>
      </c>
      <c r="C101" t="str">
        <f t="shared" ca="1" si="13"/>
        <v>Financiamento Veiculo</v>
      </c>
      <c r="D101" s="2">
        <f t="shared" ca="1" si="14"/>
        <v>25000</v>
      </c>
      <c r="E101" s="3">
        <f t="shared" ca="1" si="15"/>
        <v>1.99</v>
      </c>
      <c r="F101" s="4">
        <f t="shared" ca="1" si="16"/>
        <v>24</v>
      </c>
      <c r="G101">
        <f t="shared" ca="1" si="17"/>
        <v>634</v>
      </c>
      <c r="H101" t="str">
        <f t="shared" ca="1" si="18"/>
        <v>Medio</v>
      </c>
      <c r="I101" t="str">
        <f t="shared" ca="1" si="19"/>
        <v>Em Dia</v>
      </c>
      <c r="J101" t="str">
        <f t="shared" ca="1" si="20"/>
        <v>Centro-Oeste</v>
      </c>
      <c r="K101" t="str">
        <f t="shared" ca="1" si="21"/>
        <v>Joao Souza</v>
      </c>
    </row>
    <row r="102" spans="1:11" x14ac:dyDescent="0.25">
      <c r="A102" t="str">
        <f t="shared" si="11"/>
        <v>CLI-1100</v>
      </c>
      <c r="B102" s="1">
        <f t="shared" ca="1" si="12"/>
        <v>45969</v>
      </c>
      <c r="C102" t="str">
        <f t="shared" ca="1" si="13"/>
        <v>Credito Consignado</v>
      </c>
      <c r="D102" s="2">
        <f t="shared" ca="1" si="14"/>
        <v>12000</v>
      </c>
      <c r="E102" s="3">
        <f t="shared" ca="1" si="15"/>
        <v>4.09</v>
      </c>
      <c r="F102" s="4">
        <f t="shared" ca="1" si="16"/>
        <v>36</v>
      </c>
      <c r="G102">
        <f t="shared" ca="1" si="17"/>
        <v>665</v>
      </c>
      <c r="H102" t="str">
        <f t="shared" ca="1" si="18"/>
        <v>Medio</v>
      </c>
      <c r="I102" t="str">
        <f t="shared" ca="1" si="19"/>
        <v>Inadimplente</v>
      </c>
      <c r="J102" t="str">
        <f t="shared" ca="1" si="20"/>
        <v>Nordeste</v>
      </c>
      <c r="K102" t="str">
        <f t="shared" ca="1" si="21"/>
        <v>Maria Lima</v>
      </c>
    </row>
    <row r="103" spans="1:11" x14ac:dyDescent="0.25">
      <c r="A103" t="str">
        <f t="shared" si="11"/>
        <v>CLI-1101</v>
      </c>
      <c r="B103" s="1">
        <f t="shared" ca="1" si="12"/>
        <v>45764</v>
      </c>
      <c r="C103" t="str">
        <f t="shared" ca="1" si="13"/>
        <v>Credito Consignado</v>
      </c>
      <c r="D103" s="2">
        <f t="shared" ca="1" si="14"/>
        <v>300000</v>
      </c>
      <c r="E103" s="3">
        <f t="shared" ca="1" si="15"/>
        <v>1.1399999999999999</v>
      </c>
      <c r="F103" s="4">
        <f t="shared" ca="1" si="16"/>
        <v>12</v>
      </c>
      <c r="G103">
        <f t="shared" ca="1" si="17"/>
        <v>703</v>
      </c>
      <c r="H103" t="str">
        <f t="shared" ca="1" si="18"/>
        <v>Medio</v>
      </c>
      <c r="I103" t="str">
        <f t="shared" ca="1" si="19"/>
        <v>Em Dia</v>
      </c>
      <c r="J103" t="str">
        <f t="shared" ca="1" si="20"/>
        <v>Sudeste</v>
      </c>
      <c r="K103" t="str">
        <f t="shared" ca="1" si="21"/>
        <v>Joao Souza</v>
      </c>
    </row>
    <row r="104" spans="1:11" x14ac:dyDescent="0.25">
      <c r="A104" t="str">
        <f t="shared" si="11"/>
        <v>CLI-1102</v>
      </c>
      <c r="B104" s="1">
        <f t="shared" ca="1" si="12"/>
        <v>46163</v>
      </c>
      <c r="C104" t="str">
        <f t="shared" ca="1" si="13"/>
        <v>Financiamento Veiculo</v>
      </c>
      <c r="D104" s="2">
        <f t="shared" ca="1" si="14"/>
        <v>300000</v>
      </c>
      <c r="E104" s="3">
        <f t="shared" ca="1" si="15"/>
        <v>3.17</v>
      </c>
      <c r="F104" s="4">
        <f t="shared" ca="1" si="16"/>
        <v>60</v>
      </c>
      <c r="G104">
        <f t="shared" ca="1" si="17"/>
        <v>525</v>
      </c>
      <c r="H104" t="str">
        <f t="shared" ca="1" si="18"/>
        <v>Alto</v>
      </c>
      <c r="I104" t="str">
        <f t="shared" ca="1" si="19"/>
        <v>Inadimplente</v>
      </c>
      <c r="J104" t="str">
        <f t="shared" ca="1" si="20"/>
        <v>Centro-Oeste</v>
      </c>
      <c r="K104" t="str">
        <f t="shared" ca="1" si="21"/>
        <v>Carlos Mendes</v>
      </c>
    </row>
    <row r="105" spans="1:11" x14ac:dyDescent="0.25">
      <c r="A105" t="str">
        <f t="shared" si="11"/>
        <v>CLI-1103</v>
      </c>
      <c r="B105" s="1">
        <f t="shared" ca="1" si="12"/>
        <v>46085</v>
      </c>
      <c r="C105" t="str">
        <f t="shared" ca="1" si="13"/>
        <v>Credito Consignado</v>
      </c>
      <c r="D105" s="2">
        <f t="shared" ca="1" si="14"/>
        <v>300000</v>
      </c>
      <c r="E105" s="3">
        <f t="shared" ca="1" si="15"/>
        <v>2.97</v>
      </c>
      <c r="F105" s="4">
        <f t="shared" ca="1" si="16"/>
        <v>24</v>
      </c>
      <c r="G105">
        <f t="shared" ca="1" si="17"/>
        <v>763</v>
      </c>
      <c r="H105" t="str">
        <f t="shared" ca="1" si="18"/>
        <v>Baixo</v>
      </c>
      <c r="I105" t="str">
        <f t="shared" ca="1" si="19"/>
        <v>Em Dia</v>
      </c>
      <c r="J105" t="str">
        <f t="shared" ca="1" si="20"/>
        <v>Sudeste</v>
      </c>
      <c r="K105" t="str">
        <f t="shared" ca="1" si="21"/>
        <v>Ana Silva</v>
      </c>
    </row>
    <row r="106" spans="1:11" x14ac:dyDescent="0.25">
      <c r="A106" t="str">
        <f t="shared" si="11"/>
        <v>CLI-1104</v>
      </c>
      <c r="B106" s="1">
        <f t="shared" ca="1" si="12"/>
        <v>46080</v>
      </c>
      <c r="C106" t="str">
        <f t="shared" ca="1" si="13"/>
        <v>Credito Consignado</v>
      </c>
      <c r="D106" s="2">
        <f t="shared" ca="1" si="14"/>
        <v>5000</v>
      </c>
      <c r="E106" s="3">
        <f t="shared" ca="1" si="15"/>
        <v>0.91</v>
      </c>
      <c r="F106" s="4">
        <f t="shared" ca="1" si="16"/>
        <v>120</v>
      </c>
      <c r="G106">
        <f t="shared" ca="1" si="17"/>
        <v>359</v>
      </c>
      <c r="H106" t="str">
        <f t="shared" ca="1" si="18"/>
        <v>Alto</v>
      </c>
      <c r="I106" t="str">
        <f t="shared" ca="1" si="19"/>
        <v>Em Dia</v>
      </c>
      <c r="J106" t="str">
        <f t="shared" ca="1" si="20"/>
        <v>Sul</v>
      </c>
      <c r="K106" t="str">
        <f t="shared" ca="1" si="21"/>
        <v>Ana Silva</v>
      </c>
    </row>
    <row r="107" spans="1:11" x14ac:dyDescent="0.25">
      <c r="A107" t="str">
        <f t="shared" si="11"/>
        <v>CLI-1105</v>
      </c>
      <c r="B107" s="1">
        <f t="shared" ca="1" si="12"/>
        <v>45802</v>
      </c>
      <c r="C107" t="str">
        <f t="shared" ca="1" si="13"/>
        <v>Cartao de Credito</v>
      </c>
      <c r="D107" s="2">
        <f t="shared" ca="1" si="14"/>
        <v>45000</v>
      </c>
      <c r="E107" s="3">
        <f t="shared" ca="1" si="15"/>
        <v>0.98</v>
      </c>
      <c r="F107" s="4">
        <f t="shared" ca="1" si="16"/>
        <v>48</v>
      </c>
      <c r="G107">
        <f t="shared" ca="1" si="17"/>
        <v>497</v>
      </c>
      <c r="H107" t="str">
        <f t="shared" ca="1" si="18"/>
        <v>Alto</v>
      </c>
      <c r="I107" t="str">
        <f t="shared" ca="1" si="19"/>
        <v>Atraso 60d</v>
      </c>
      <c r="J107" t="str">
        <f t="shared" ca="1" si="20"/>
        <v>Nordeste</v>
      </c>
      <c r="K107" t="str">
        <f t="shared" ca="1" si="21"/>
        <v>Ana Silva</v>
      </c>
    </row>
    <row r="108" spans="1:11" x14ac:dyDescent="0.25">
      <c r="A108" t="str">
        <f t="shared" si="11"/>
        <v>CLI-1106</v>
      </c>
      <c r="B108" s="1">
        <f t="shared" ca="1" si="12"/>
        <v>46058</v>
      </c>
      <c r="C108" t="str">
        <f t="shared" ca="1" si="13"/>
        <v>Cartao de Credito</v>
      </c>
      <c r="D108" s="2">
        <f t="shared" ca="1" si="14"/>
        <v>5000</v>
      </c>
      <c r="E108" s="3">
        <f t="shared" ca="1" si="15"/>
        <v>4.4000000000000004</v>
      </c>
      <c r="F108" s="4">
        <f t="shared" ca="1" si="16"/>
        <v>24</v>
      </c>
      <c r="G108">
        <f t="shared" ca="1" si="17"/>
        <v>692</v>
      </c>
      <c r="H108" t="str">
        <f t="shared" ca="1" si="18"/>
        <v>Medio</v>
      </c>
      <c r="I108" t="str">
        <f t="shared" ca="1" si="19"/>
        <v>Em Dia</v>
      </c>
      <c r="J108" t="str">
        <f t="shared" ca="1" si="20"/>
        <v>Centro-Oeste</v>
      </c>
      <c r="K108" t="str">
        <f t="shared" ca="1" si="21"/>
        <v>Carlos Mendes</v>
      </c>
    </row>
    <row r="109" spans="1:11" x14ac:dyDescent="0.25">
      <c r="A109" t="str">
        <f t="shared" si="11"/>
        <v>CLI-1107</v>
      </c>
      <c r="B109" s="1">
        <f t="shared" ca="1" si="12"/>
        <v>46111</v>
      </c>
      <c r="C109" t="str">
        <f t="shared" ca="1" si="13"/>
        <v>Financiamento Veiculo</v>
      </c>
      <c r="D109" s="2">
        <f t="shared" ca="1" si="14"/>
        <v>150000</v>
      </c>
      <c r="E109" s="3">
        <f t="shared" ca="1" si="15"/>
        <v>3.84</v>
      </c>
      <c r="F109" s="4">
        <f t="shared" ca="1" si="16"/>
        <v>360</v>
      </c>
      <c r="G109">
        <f t="shared" ca="1" si="17"/>
        <v>931</v>
      </c>
      <c r="H109" t="str">
        <f t="shared" ca="1" si="18"/>
        <v>Baixo</v>
      </c>
      <c r="I109" t="str">
        <f t="shared" ca="1" si="19"/>
        <v>Inadimplente</v>
      </c>
      <c r="J109" t="str">
        <f t="shared" ca="1" si="20"/>
        <v>Norte</v>
      </c>
      <c r="K109" t="str">
        <f t="shared" ca="1" si="21"/>
        <v>Carlos Mendes</v>
      </c>
    </row>
    <row r="110" spans="1:11" x14ac:dyDescent="0.25">
      <c r="A110" t="str">
        <f t="shared" si="11"/>
        <v>CLI-1108</v>
      </c>
      <c r="B110" s="1">
        <f t="shared" ca="1" si="12"/>
        <v>45845</v>
      </c>
      <c r="C110" t="str">
        <f t="shared" ca="1" si="13"/>
        <v>Credito Consignado</v>
      </c>
      <c r="D110" s="2">
        <f t="shared" ca="1" si="14"/>
        <v>12000</v>
      </c>
      <c r="E110" s="3">
        <f t="shared" ca="1" si="15"/>
        <v>2.58</v>
      </c>
      <c r="F110" s="4">
        <f t="shared" ca="1" si="16"/>
        <v>24</v>
      </c>
      <c r="G110">
        <f t="shared" ca="1" si="17"/>
        <v>491</v>
      </c>
      <c r="H110" t="str">
        <f t="shared" ca="1" si="18"/>
        <v>Alto</v>
      </c>
      <c r="I110" t="str">
        <f t="shared" ca="1" si="19"/>
        <v>Atraso 60d</v>
      </c>
      <c r="J110" t="str">
        <f t="shared" ca="1" si="20"/>
        <v>Centro-Oeste</v>
      </c>
      <c r="K110" t="str">
        <f t="shared" ca="1" si="21"/>
        <v>Joao Souza</v>
      </c>
    </row>
    <row r="111" spans="1:11" x14ac:dyDescent="0.25">
      <c r="A111" t="str">
        <f t="shared" si="11"/>
        <v>CLI-1109</v>
      </c>
      <c r="B111" s="1">
        <f t="shared" ca="1" si="12"/>
        <v>46169</v>
      </c>
      <c r="C111" t="str">
        <f t="shared" ca="1" si="13"/>
        <v>Cartao de Credito</v>
      </c>
      <c r="D111" s="2">
        <f t="shared" ca="1" si="14"/>
        <v>45000</v>
      </c>
      <c r="E111" s="3">
        <f t="shared" ca="1" si="15"/>
        <v>3.53</v>
      </c>
      <c r="F111" s="4">
        <f t="shared" ca="1" si="16"/>
        <v>12</v>
      </c>
      <c r="G111">
        <f t="shared" ca="1" si="17"/>
        <v>934</v>
      </c>
      <c r="H111" t="str">
        <f t="shared" ca="1" si="18"/>
        <v>Baixo</v>
      </c>
      <c r="I111" t="str">
        <f t="shared" ca="1" si="19"/>
        <v>Em Dia</v>
      </c>
      <c r="J111" t="str">
        <f t="shared" ca="1" si="20"/>
        <v>Norte</v>
      </c>
      <c r="K111" t="str">
        <f t="shared" ca="1" si="21"/>
        <v>Joao Souza</v>
      </c>
    </row>
    <row r="112" spans="1:11" x14ac:dyDescent="0.25">
      <c r="A112" t="str">
        <f t="shared" si="11"/>
        <v>CLI-1110</v>
      </c>
      <c r="B112" s="1">
        <f t="shared" ca="1" si="12"/>
        <v>45806</v>
      </c>
      <c r="C112" t="str">
        <f t="shared" ca="1" si="13"/>
        <v>Cartao de Credito</v>
      </c>
      <c r="D112" s="2">
        <f t="shared" ca="1" si="14"/>
        <v>45000</v>
      </c>
      <c r="E112" s="3">
        <f t="shared" ca="1" si="15"/>
        <v>4.17</v>
      </c>
      <c r="F112" s="4">
        <f t="shared" ca="1" si="16"/>
        <v>36</v>
      </c>
      <c r="G112">
        <f t="shared" ca="1" si="17"/>
        <v>881</v>
      </c>
      <c r="H112" t="str">
        <f t="shared" ca="1" si="18"/>
        <v>Baixo</v>
      </c>
      <c r="I112" t="str">
        <f t="shared" ca="1" si="19"/>
        <v>Atraso 60d</v>
      </c>
      <c r="J112" t="str">
        <f t="shared" ca="1" si="20"/>
        <v>Nordeste</v>
      </c>
      <c r="K112" t="str">
        <f t="shared" ca="1" si="21"/>
        <v>Joao Souza</v>
      </c>
    </row>
    <row r="113" spans="1:11" x14ac:dyDescent="0.25">
      <c r="A113" t="str">
        <f t="shared" si="11"/>
        <v>CLI-1111</v>
      </c>
      <c r="B113" s="1">
        <f t="shared" ca="1" si="12"/>
        <v>45834</v>
      </c>
      <c r="C113" t="str">
        <f t="shared" ca="1" si="13"/>
        <v>Credito Consignado</v>
      </c>
      <c r="D113" s="2">
        <f t="shared" ca="1" si="14"/>
        <v>5000</v>
      </c>
      <c r="E113" s="3">
        <f t="shared" ca="1" si="15"/>
        <v>1.57</v>
      </c>
      <c r="F113" s="4">
        <f t="shared" ca="1" si="16"/>
        <v>360</v>
      </c>
      <c r="G113">
        <f t="shared" ca="1" si="17"/>
        <v>614</v>
      </c>
      <c r="H113" t="str">
        <f t="shared" ca="1" si="18"/>
        <v>Medio</v>
      </c>
      <c r="I113" t="str">
        <f t="shared" ca="1" si="19"/>
        <v>Em Dia</v>
      </c>
      <c r="J113" t="str">
        <f t="shared" ca="1" si="20"/>
        <v>Sul</v>
      </c>
      <c r="K113" t="str">
        <f t="shared" ca="1" si="21"/>
        <v>Pedro Costa</v>
      </c>
    </row>
    <row r="114" spans="1:11" x14ac:dyDescent="0.25">
      <c r="A114" t="str">
        <f t="shared" si="11"/>
        <v>CLI-1112</v>
      </c>
      <c r="B114" s="1">
        <f t="shared" ca="1" si="12"/>
        <v>45927</v>
      </c>
      <c r="C114" t="str">
        <f t="shared" ca="1" si="13"/>
        <v>Financiamento Veiculo</v>
      </c>
      <c r="D114" s="2">
        <f t="shared" ca="1" si="14"/>
        <v>45000</v>
      </c>
      <c r="E114" s="3">
        <f t="shared" ca="1" si="15"/>
        <v>3.63</v>
      </c>
      <c r="F114" s="4">
        <f t="shared" ca="1" si="16"/>
        <v>24</v>
      </c>
      <c r="G114">
        <f t="shared" ca="1" si="17"/>
        <v>616</v>
      </c>
      <c r="H114" t="str">
        <f t="shared" ca="1" si="18"/>
        <v>Medio</v>
      </c>
      <c r="I114" t="str">
        <f t="shared" ca="1" si="19"/>
        <v>Em Dia</v>
      </c>
      <c r="J114" t="str">
        <f t="shared" ca="1" si="20"/>
        <v>Sul</v>
      </c>
      <c r="K114" t="str">
        <f t="shared" ca="1" si="21"/>
        <v>Pedro Costa</v>
      </c>
    </row>
    <row r="115" spans="1:11" x14ac:dyDescent="0.25">
      <c r="A115" t="str">
        <f t="shared" si="11"/>
        <v>CLI-1113</v>
      </c>
      <c r="B115" s="1">
        <f t="shared" ca="1" si="12"/>
        <v>45807</v>
      </c>
      <c r="C115" t="str">
        <f t="shared" ca="1" si="13"/>
        <v>Credito Consignado</v>
      </c>
      <c r="D115" s="2">
        <f t="shared" ca="1" si="14"/>
        <v>300000</v>
      </c>
      <c r="E115" s="3">
        <f t="shared" ca="1" si="15"/>
        <v>3.26</v>
      </c>
      <c r="F115" s="4">
        <f t="shared" ca="1" si="16"/>
        <v>120</v>
      </c>
      <c r="G115">
        <f t="shared" ca="1" si="17"/>
        <v>392</v>
      </c>
      <c r="H115" t="str">
        <f t="shared" ca="1" si="18"/>
        <v>Alto</v>
      </c>
      <c r="I115" t="str">
        <f t="shared" ca="1" si="19"/>
        <v>Inadimplente</v>
      </c>
      <c r="J115" t="str">
        <f t="shared" ca="1" si="20"/>
        <v>Centro-Oeste</v>
      </c>
      <c r="K115" t="str">
        <f t="shared" ca="1" si="21"/>
        <v>Pedro Costa</v>
      </c>
    </row>
    <row r="116" spans="1:11" x14ac:dyDescent="0.25">
      <c r="A116" t="str">
        <f t="shared" si="11"/>
        <v>CLI-1114</v>
      </c>
      <c r="B116" s="1">
        <f t="shared" ca="1" si="12"/>
        <v>45986</v>
      </c>
      <c r="C116" t="str">
        <f t="shared" ca="1" si="13"/>
        <v>Credito Consignado</v>
      </c>
      <c r="D116" s="2">
        <f t="shared" ca="1" si="14"/>
        <v>45000</v>
      </c>
      <c r="E116" s="3">
        <f t="shared" ca="1" si="15"/>
        <v>0.82</v>
      </c>
      <c r="F116" s="4">
        <f t="shared" ca="1" si="16"/>
        <v>36</v>
      </c>
      <c r="G116">
        <f t="shared" ca="1" si="17"/>
        <v>912</v>
      </c>
      <c r="H116" t="str">
        <f t="shared" ca="1" si="18"/>
        <v>Baixo</v>
      </c>
      <c r="I116" t="str">
        <f t="shared" ca="1" si="19"/>
        <v>Inadimplente</v>
      </c>
      <c r="J116" t="str">
        <f t="shared" ca="1" si="20"/>
        <v>Sudeste</v>
      </c>
      <c r="K116" t="str">
        <f t="shared" ca="1" si="21"/>
        <v>Ana Silva</v>
      </c>
    </row>
    <row r="117" spans="1:11" x14ac:dyDescent="0.25">
      <c r="A117" t="str">
        <f t="shared" si="11"/>
        <v>CLI-1115</v>
      </c>
      <c r="B117" s="1">
        <f t="shared" ca="1" si="12"/>
        <v>45989</v>
      </c>
      <c r="C117" t="str">
        <f t="shared" ca="1" si="13"/>
        <v>Financiamento Veiculo</v>
      </c>
      <c r="D117" s="2">
        <f t="shared" ca="1" si="14"/>
        <v>5000</v>
      </c>
      <c r="E117" s="3">
        <f t="shared" ca="1" si="15"/>
        <v>1.51</v>
      </c>
      <c r="F117" s="4">
        <f t="shared" ca="1" si="16"/>
        <v>12</v>
      </c>
      <c r="G117">
        <f t="shared" ca="1" si="17"/>
        <v>828</v>
      </c>
      <c r="H117" t="str">
        <f t="shared" ca="1" si="18"/>
        <v>Baixo</v>
      </c>
      <c r="I117" t="str">
        <f t="shared" ca="1" si="19"/>
        <v>Atraso 30d</v>
      </c>
      <c r="J117" t="str">
        <f t="shared" ca="1" si="20"/>
        <v>Centro-Oeste</v>
      </c>
      <c r="K117" t="str">
        <f t="shared" ca="1" si="21"/>
        <v>Carlos Mendes</v>
      </c>
    </row>
    <row r="118" spans="1:11" x14ac:dyDescent="0.25">
      <c r="A118" t="str">
        <f t="shared" si="11"/>
        <v>CLI-1116</v>
      </c>
      <c r="B118" s="1">
        <f t="shared" ca="1" si="12"/>
        <v>46225</v>
      </c>
      <c r="C118" t="str">
        <f t="shared" ca="1" si="13"/>
        <v>Credito Pessoal</v>
      </c>
      <c r="D118" s="2">
        <f t="shared" ca="1" si="14"/>
        <v>12000</v>
      </c>
      <c r="E118" s="3">
        <f t="shared" ca="1" si="15"/>
        <v>4.4000000000000004</v>
      </c>
      <c r="F118" s="4">
        <f t="shared" ca="1" si="16"/>
        <v>120</v>
      </c>
      <c r="G118">
        <f t="shared" ca="1" si="17"/>
        <v>540</v>
      </c>
      <c r="H118" t="str">
        <f t="shared" ca="1" si="18"/>
        <v>Alto</v>
      </c>
      <c r="I118" t="str">
        <f t="shared" ca="1" si="19"/>
        <v>Em Dia</v>
      </c>
      <c r="J118" t="str">
        <f t="shared" ca="1" si="20"/>
        <v>Centro-Oeste</v>
      </c>
      <c r="K118" t="str">
        <f t="shared" ca="1" si="21"/>
        <v>Ana Silva</v>
      </c>
    </row>
    <row r="119" spans="1:11" x14ac:dyDescent="0.25">
      <c r="A119" t="str">
        <f t="shared" si="11"/>
        <v>CLI-1117</v>
      </c>
      <c r="B119" s="1">
        <f t="shared" ca="1" si="12"/>
        <v>46254</v>
      </c>
      <c r="C119" t="str">
        <f t="shared" ca="1" si="13"/>
        <v>Financiamento Veiculo</v>
      </c>
      <c r="D119" s="2">
        <f t="shared" ca="1" si="14"/>
        <v>300000</v>
      </c>
      <c r="E119" s="3">
        <f t="shared" ca="1" si="15"/>
        <v>3.49</v>
      </c>
      <c r="F119" s="4">
        <f t="shared" ca="1" si="16"/>
        <v>12</v>
      </c>
      <c r="G119">
        <f t="shared" ca="1" si="17"/>
        <v>375</v>
      </c>
      <c r="H119" t="str">
        <f t="shared" ca="1" si="18"/>
        <v>Alto</v>
      </c>
      <c r="I119" t="str">
        <f t="shared" ca="1" si="19"/>
        <v>Inadimplente</v>
      </c>
      <c r="J119" t="str">
        <f t="shared" ca="1" si="20"/>
        <v>Sul</v>
      </c>
      <c r="K119" t="str">
        <f t="shared" ca="1" si="21"/>
        <v>Maria Lima</v>
      </c>
    </row>
    <row r="120" spans="1:11" x14ac:dyDescent="0.25">
      <c r="A120" t="str">
        <f t="shared" si="11"/>
        <v>CLI-1118</v>
      </c>
      <c r="B120" s="1">
        <f t="shared" ca="1" si="12"/>
        <v>46107</v>
      </c>
      <c r="C120" t="str">
        <f t="shared" ca="1" si="13"/>
        <v>Credito Pessoal</v>
      </c>
      <c r="D120" s="2">
        <f t="shared" ca="1" si="14"/>
        <v>12000</v>
      </c>
      <c r="E120" s="3">
        <f t="shared" ca="1" si="15"/>
        <v>4.18</v>
      </c>
      <c r="F120" s="4">
        <f t="shared" ca="1" si="16"/>
        <v>36</v>
      </c>
      <c r="G120">
        <f t="shared" ca="1" si="17"/>
        <v>576</v>
      </c>
      <c r="H120" t="str">
        <f t="shared" ca="1" si="18"/>
        <v>Alto</v>
      </c>
      <c r="I120" t="str">
        <f t="shared" ca="1" si="19"/>
        <v>Em Dia</v>
      </c>
      <c r="J120" t="str">
        <f t="shared" ca="1" si="20"/>
        <v>Sul</v>
      </c>
      <c r="K120" t="str">
        <f t="shared" ca="1" si="21"/>
        <v>Pedro Costa</v>
      </c>
    </row>
    <row r="121" spans="1:11" x14ac:dyDescent="0.25">
      <c r="A121" t="str">
        <f t="shared" si="11"/>
        <v>CLI-1119</v>
      </c>
      <c r="B121" s="1">
        <f t="shared" ca="1" si="12"/>
        <v>45905</v>
      </c>
      <c r="C121" t="str">
        <f t="shared" ca="1" si="13"/>
        <v>Credito Imobiliario</v>
      </c>
      <c r="D121" s="2">
        <f t="shared" ca="1" si="14"/>
        <v>150000</v>
      </c>
      <c r="E121" s="3">
        <f t="shared" ca="1" si="15"/>
        <v>4.22</v>
      </c>
      <c r="F121" s="4">
        <f t="shared" ca="1" si="16"/>
        <v>120</v>
      </c>
      <c r="G121">
        <f t="shared" ca="1" si="17"/>
        <v>638</v>
      </c>
      <c r="H121" t="str">
        <f t="shared" ca="1" si="18"/>
        <v>Medio</v>
      </c>
      <c r="I121" t="str">
        <f t="shared" ca="1" si="19"/>
        <v>Atraso 60d</v>
      </c>
      <c r="J121" t="str">
        <f t="shared" ca="1" si="20"/>
        <v>Centro-Oeste</v>
      </c>
      <c r="K121" t="str">
        <f t="shared" ca="1" si="21"/>
        <v>Pedro Costa</v>
      </c>
    </row>
    <row r="122" spans="1:11" x14ac:dyDescent="0.25">
      <c r="A122" t="str">
        <f t="shared" si="11"/>
        <v>CLI-1120</v>
      </c>
      <c r="B122" s="1">
        <f t="shared" ca="1" si="12"/>
        <v>46229</v>
      </c>
      <c r="C122" t="str">
        <f t="shared" ca="1" si="13"/>
        <v>Credito Consignado</v>
      </c>
      <c r="D122" s="2">
        <f t="shared" ca="1" si="14"/>
        <v>45000</v>
      </c>
      <c r="E122" s="3">
        <f t="shared" ca="1" si="15"/>
        <v>0.94</v>
      </c>
      <c r="F122" s="4">
        <f t="shared" ca="1" si="16"/>
        <v>12</v>
      </c>
      <c r="G122">
        <f t="shared" ca="1" si="17"/>
        <v>827</v>
      </c>
      <c r="H122" t="str">
        <f t="shared" ca="1" si="18"/>
        <v>Baixo</v>
      </c>
      <c r="I122" t="str">
        <f t="shared" ca="1" si="19"/>
        <v>Inadimplente</v>
      </c>
      <c r="J122" t="str">
        <f t="shared" ca="1" si="20"/>
        <v>Nordeste</v>
      </c>
      <c r="K122" t="str">
        <f t="shared" ca="1" si="21"/>
        <v>Maria Lima</v>
      </c>
    </row>
    <row r="123" spans="1:11" x14ac:dyDescent="0.25">
      <c r="A123" t="str">
        <f t="shared" si="11"/>
        <v>CLI-1121</v>
      </c>
      <c r="B123" s="1">
        <f t="shared" ca="1" si="12"/>
        <v>45995</v>
      </c>
      <c r="C123" t="str">
        <f t="shared" ca="1" si="13"/>
        <v>Credito Pessoal</v>
      </c>
      <c r="D123" s="2">
        <f t="shared" ca="1" si="14"/>
        <v>12000</v>
      </c>
      <c r="E123" s="3">
        <f t="shared" ca="1" si="15"/>
        <v>2.93</v>
      </c>
      <c r="F123" s="4">
        <f t="shared" ca="1" si="16"/>
        <v>24</v>
      </c>
      <c r="G123">
        <f t="shared" ca="1" si="17"/>
        <v>389</v>
      </c>
      <c r="H123" t="str">
        <f t="shared" ca="1" si="18"/>
        <v>Alto</v>
      </c>
      <c r="I123" t="str">
        <f t="shared" ca="1" si="19"/>
        <v>Em Dia</v>
      </c>
      <c r="J123" t="str">
        <f t="shared" ca="1" si="20"/>
        <v>Sul</v>
      </c>
      <c r="K123" t="str">
        <f t="shared" ca="1" si="21"/>
        <v>Maria Lima</v>
      </c>
    </row>
    <row r="124" spans="1:11" x14ac:dyDescent="0.25">
      <c r="A124" t="str">
        <f t="shared" si="11"/>
        <v>CLI-1122</v>
      </c>
      <c r="B124" s="1">
        <f t="shared" ca="1" si="12"/>
        <v>45850</v>
      </c>
      <c r="C124" t="str">
        <f t="shared" ca="1" si="13"/>
        <v>Cartao de Credito</v>
      </c>
      <c r="D124" s="2">
        <f t="shared" ca="1" si="14"/>
        <v>150000</v>
      </c>
      <c r="E124" s="3">
        <f t="shared" ca="1" si="15"/>
        <v>1.66</v>
      </c>
      <c r="F124" s="4">
        <f t="shared" ca="1" si="16"/>
        <v>48</v>
      </c>
      <c r="G124">
        <f t="shared" ca="1" si="17"/>
        <v>782</v>
      </c>
      <c r="H124" t="str">
        <f t="shared" ca="1" si="18"/>
        <v>Baixo</v>
      </c>
      <c r="I124" t="str">
        <f t="shared" ca="1" si="19"/>
        <v>Atraso 60d</v>
      </c>
      <c r="J124" t="str">
        <f t="shared" ca="1" si="20"/>
        <v>Sudeste</v>
      </c>
      <c r="K124" t="str">
        <f t="shared" ca="1" si="21"/>
        <v>Ana Silva</v>
      </c>
    </row>
    <row r="125" spans="1:11" x14ac:dyDescent="0.25">
      <c r="A125" t="str">
        <f t="shared" si="11"/>
        <v>CLI-1123</v>
      </c>
      <c r="B125" s="1">
        <f t="shared" ca="1" si="12"/>
        <v>45900</v>
      </c>
      <c r="C125" t="str">
        <f t="shared" ca="1" si="13"/>
        <v>Financiamento Veiculo</v>
      </c>
      <c r="D125" s="2">
        <f t="shared" ca="1" si="14"/>
        <v>5000</v>
      </c>
      <c r="E125" s="3">
        <f t="shared" ca="1" si="15"/>
        <v>4.32</v>
      </c>
      <c r="F125" s="4">
        <f t="shared" ca="1" si="16"/>
        <v>120</v>
      </c>
      <c r="G125">
        <f t="shared" ca="1" si="17"/>
        <v>528</v>
      </c>
      <c r="H125" t="str">
        <f t="shared" ca="1" si="18"/>
        <v>Alto</v>
      </c>
      <c r="I125" t="str">
        <f t="shared" ca="1" si="19"/>
        <v>Em Dia</v>
      </c>
      <c r="J125" t="str">
        <f t="shared" ca="1" si="20"/>
        <v>Sudeste</v>
      </c>
      <c r="K125" t="str">
        <f t="shared" ca="1" si="21"/>
        <v>Joao Souza</v>
      </c>
    </row>
    <row r="126" spans="1:11" x14ac:dyDescent="0.25">
      <c r="A126" t="str">
        <f t="shared" si="11"/>
        <v>CLI-1124</v>
      </c>
      <c r="B126" s="1">
        <f t="shared" ca="1" si="12"/>
        <v>46181</v>
      </c>
      <c r="C126" t="str">
        <f t="shared" ca="1" si="13"/>
        <v>Credito Imobiliario</v>
      </c>
      <c r="D126" s="2">
        <f t="shared" ca="1" si="14"/>
        <v>80000</v>
      </c>
      <c r="E126" s="3">
        <f t="shared" ca="1" si="15"/>
        <v>3.76</v>
      </c>
      <c r="F126" s="4">
        <f t="shared" ca="1" si="16"/>
        <v>120</v>
      </c>
      <c r="G126">
        <f t="shared" ca="1" si="17"/>
        <v>554</v>
      </c>
      <c r="H126" t="str">
        <f t="shared" ca="1" si="18"/>
        <v>Alto</v>
      </c>
      <c r="I126" t="str">
        <f t="shared" ca="1" si="19"/>
        <v>Atraso 60d</v>
      </c>
      <c r="J126" t="str">
        <f t="shared" ca="1" si="20"/>
        <v>Sul</v>
      </c>
      <c r="K126" t="str">
        <f t="shared" ca="1" si="21"/>
        <v>Pedro Costa</v>
      </c>
    </row>
    <row r="127" spans="1:11" x14ac:dyDescent="0.25">
      <c r="A127" t="str">
        <f t="shared" si="11"/>
        <v>CLI-1125</v>
      </c>
      <c r="B127" s="1">
        <f t="shared" ca="1" si="12"/>
        <v>45762</v>
      </c>
      <c r="C127" t="str">
        <f t="shared" ca="1" si="13"/>
        <v>Financiamento Veiculo</v>
      </c>
      <c r="D127" s="2">
        <f t="shared" ca="1" si="14"/>
        <v>45000</v>
      </c>
      <c r="E127" s="3">
        <f t="shared" ca="1" si="15"/>
        <v>4.29</v>
      </c>
      <c r="F127" s="4">
        <f t="shared" ca="1" si="16"/>
        <v>12</v>
      </c>
      <c r="G127">
        <f t="shared" ca="1" si="17"/>
        <v>911</v>
      </c>
      <c r="H127" t="str">
        <f t="shared" ca="1" si="18"/>
        <v>Baixo</v>
      </c>
      <c r="I127" t="str">
        <f t="shared" ca="1" si="19"/>
        <v>Em Dia</v>
      </c>
      <c r="J127" t="str">
        <f t="shared" ca="1" si="20"/>
        <v>Nordeste</v>
      </c>
      <c r="K127" t="str">
        <f t="shared" ca="1" si="21"/>
        <v>Carlos Mendes</v>
      </c>
    </row>
    <row r="128" spans="1:11" x14ac:dyDescent="0.25">
      <c r="A128" t="str">
        <f t="shared" si="11"/>
        <v>CLI-1126</v>
      </c>
      <c r="B128" s="1">
        <f t="shared" ca="1" si="12"/>
        <v>45779</v>
      </c>
      <c r="C128" t="str">
        <f t="shared" ca="1" si="13"/>
        <v>Credito Consignado</v>
      </c>
      <c r="D128" s="2">
        <f t="shared" ca="1" si="14"/>
        <v>12000</v>
      </c>
      <c r="E128" s="3">
        <f t="shared" ca="1" si="15"/>
        <v>1</v>
      </c>
      <c r="F128" s="4">
        <f t="shared" ca="1" si="16"/>
        <v>360</v>
      </c>
      <c r="G128">
        <f t="shared" ca="1" si="17"/>
        <v>674</v>
      </c>
      <c r="H128" t="str">
        <f t="shared" ca="1" si="18"/>
        <v>Medio</v>
      </c>
      <c r="I128" t="str">
        <f t="shared" ca="1" si="19"/>
        <v>Em Dia</v>
      </c>
      <c r="J128" t="str">
        <f t="shared" ca="1" si="20"/>
        <v>Nordeste</v>
      </c>
      <c r="K128" t="str">
        <f t="shared" ca="1" si="21"/>
        <v>Carlos Mendes</v>
      </c>
    </row>
    <row r="129" spans="1:11" x14ac:dyDescent="0.25">
      <c r="A129" t="str">
        <f t="shared" si="11"/>
        <v>CLI-1127</v>
      </c>
      <c r="B129" s="1">
        <f t="shared" ca="1" si="12"/>
        <v>46122</v>
      </c>
      <c r="C129" t="str">
        <f t="shared" ca="1" si="13"/>
        <v>Credito Consignado</v>
      </c>
      <c r="D129" s="2">
        <f t="shared" ca="1" si="14"/>
        <v>300000</v>
      </c>
      <c r="E129" s="3">
        <f t="shared" ca="1" si="15"/>
        <v>1.64</v>
      </c>
      <c r="F129" s="4">
        <f t="shared" ca="1" si="16"/>
        <v>36</v>
      </c>
      <c r="G129">
        <f t="shared" ca="1" si="17"/>
        <v>536</v>
      </c>
      <c r="H129" t="str">
        <f t="shared" ca="1" si="18"/>
        <v>Alto</v>
      </c>
      <c r="I129" t="str">
        <f t="shared" ca="1" si="19"/>
        <v>Em Dia</v>
      </c>
      <c r="J129" t="str">
        <f t="shared" ca="1" si="20"/>
        <v>Nordeste</v>
      </c>
      <c r="K129" t="str">
        <f t="shared" ca="1" si="21"/>
        <v>Joao Souza</v>
      </c>
    </row>
    <row r="130" spans="1:11" x14ac:dyDescent="0.25">
      <c r="A130" t="str">
        <f t="shared" si="11"/>
        <v>CLI-1128</v>
      </c>
      <c r="B130" s="1">
        <f t="shared" ca="1" si="12"/>
        <v>46078</v>
      </c>
      <c r="C130" t="str">
        <f t="shared" ca="1" si="13"/>
        <v>Financiamento Veiculo</v>
      </c>
      <c r="D130" s="2">
        <f t="shared" ca="1" si="14"/>
        <v>80000</v>
      </c>
      <c r="E130" s="3">
        <f t="shared" ca="1" si="15"/>
        <v>4.26</v>
      </c>
      <c r="F130" s="4">
        <f t="shared" ca="1" si="16"/>
        <v>360</v>
      </c>
      <c r="G130">
        <f t="shared" ca="1" si="17"/>
        <v>799</v>
      </c>
      <c r="H130" t="str">
        <f t="shared" ca="1" si="18"/>
        <v>Baixo</v>
      </c>
      <c r="I130" t="str">
        <f t="shared" ca="1" si="19"/>
        <v>Em Dia</v>
      </c>
      <c r="J130" t="str">
        <f t="shared" ca="1" si="20"/>
        <v>Sul</v>
      </c>
      <c r="K130" t="str">
        <f t="shared" ca="1" si="21"/>
        <v>Pedro Costa</v>
      </c>
    </row>
    <row r="131" spans="1:11" x14ac:dyDescent="0.25">
      <c r="A131" t="str">
        <f t="shared" ref="A131:A194" si="22">"CLI-"&amp;ROW()+998</f>
        <v>CLI-1129</v>
      </c>
      <c r="B131" s="1">
        <f t="shared" ref="B131:B194" ca="1" si="23">TODAY()-RANDBETWEEN(1,500)</f>
        <v>45958</v>
      </c>
      <c r="C131" t="str">
        <f t="shared" ref="C131:C194" ca="1" si="24">CHOOSE(RANDBETWEEN(1,5),"Credito Pessoal","Financiamento Veiculo","Credito Consignado","Cartao de Credito","Credito Imobiliario")</f>
        <v>Financiamento Veiculo</v>
      </c>
      <c r="D131" s="2">
        <f t="shared" ref="D131:D194" ca="1" si="25">CHOOSE(RANDBETWEEN(1,7),5000,12000,25000,45000,80000,150000,300000)</f>
        <v>45000</v>
      </c>
      <c r="E131" s="3">
        <f t="shared" ref="E131:E194" ca="1" si="26">RANDBETWEEN(60,450)/100</f>
        <v>4.47</v>
      </c>
      <c r="F131" s="4">
        <f t="shared" ref="F131:F194" ca="1" si="27">CHOOSE(RANDBETWEEN(1,7),12,24,36,48,60,120,360)</f>
        <v>36</v>
      </c>
      <c r="G131">
        <f t="shared" ref="G131:G194" ca="1" si="28">RANDBETWEEN(300,950)</f>
        <v>707</v>
      </c>
      <c r="H131" t="str">
        <f t="shared" ref="H131:H194" ca="1" si="29">IF(G131&gt;750,"Baixo",IF(G131&gt;600,"Medio","Alto"))</f>
        <v>Medio</v>
      </c>
      <c r="I131" t="str">
        <f t="shared" ref="I131:I194" ca="1" si="30">CHOOSE(RANDBETWEEN(1,7),"Em Dia","Em Dia","Em Dia","Em Dia","Atraso 30d","Atraso 60d","Inadimplente")</f>
        <v>Atraso 30d</v>
      </c>
      <c r="J131" t="str">
        <f t="shared" ref="J131:J194" ca="1" si="31">CHOOSE(RANDBETWEEN(1,5),"Sudeste","Sul","Nordeste","Centro-Oeste","Norte")</f>
        <v>Norte</v>
      </c>
      <c r="K131" t="str">
        <f t="shared" ref="K131:K194" ca="1" si="32">CHOOSE(RANDBETWEEN(1,5),"Ana Silva","Carlos Mendes","Joao Souza","Maria Lima","Pedro Costa")</f>
        <v>Maria Lima</v>
      </c>
    </row>
    <row r="132" spans="1:11" x14ac:dyDescent="0.25">
      <c r="A132" t="str">
        <f t="shared" si="22"/>
        <v>CLI-1130</v>
      </c>
      <c r="B132" s="1">
        <f t="shared" ca="1" si="23"/>
        <v>45922</v>
      </c>
      <c r="C132" t="str">
        <f t="shared" ca="1" si="24"/>
        <v>Credito Consignado</v>
      </c>
      <c r="D132" s="2">
        <f t="shared" ca="1" si="25"/>
        <v>80000</v>
      </c>
      <c r="E132" s="3">
        <f t="shared" ca="1" si="26"/>
        <v>3.42</v>
      </c>
      <c r="F132" s="4">
        <f t="shared" ca="1" si="27"/>
        <v>48</v>
      </c>
      <c r="G132">
        <f t="shared" ca="1" si="28"/>
        <v>490</v>
      </c>
      <c r="H132" t="str">
        <f t="shared" ca="1" si="29"/>
        <v>Alto</v>
      </c>
      <c r="I132" t="str">
        <f t="shared" ca="1" si="30"/>
        <v>Atraso 30d</v>
      </c>
      <c r="J132" t="str">
        <f t="shared" ca="1" si="31"/>
        <v>Sudeste</v>
      </c>
      <c r="K132" t="str">
        <f t="shared" ca="1" si="32"/>
        <v>Maria Lima</v>
      </c>
    </row>
    <row r="133" spans="1:11" x14ac:dyDescent="0.25">
      <c r="A133" t="str">
        <f t="shared" si="22"/>
        <v>CLI-1131</v>
      </c>
      <c r="B133" s="1">
        <f t="shared" ca="1" si="23"/>
        <v>45806</v>
      </c>
      <c r="C133" t="str">
        <f t="shared" ca="1" si="24"/>
        <v>Credito Pessoal</v>
      </c>
      <c r="D133" s="2">
        <f t="shared" ca="1" si="25"/>
        <v>300000</v>
      </c>
      <c r="E133" s="3">
        <f t="shared" ca="1" si="26"/>
        <v>1.0900000000000001</v>
      </c>
      <c r="F133" s="4">
        <f t="shared" ca="1" si="27"/>
        <v>36</v>
      </c>
      <c r="G133">
        <f t="shared" ca="1" si="28"/>
        <v>631</v>
      </c>
      <c r="H133" t="str">
        <f t="shared" ca="1" si="29"/>
        <v>Medio</v>
      </c>
      <c r="I133" t="str">
        <f t="shared" ca="1" si="30"/>
        <v>Em Dia</v>
      </c>
      <c r="J133" t="str">
        <f t="shared" ca="1" si="31"/>
        <v>Sul</v>
      </c>
      <c r="K133" t="str">
        <f t="shared" ca="1" si="32"/>
        <v>Maria Lima</v>
      </c>
    </row>
    <row r="134" spans="1:11" x14ac:dyDescent="0.25">
      <c r="A134" t="str">
        <f t="shared" si="22"/>
        <v>CLI-1132</v>
      </c>
      <c r="B134" s="1">
        <f t="shared" ca="1" si="23"/>
        <v>46231</v>
      </c>
      <c r="C134" t="str">
        <f t="shared" ca="1" si="24"/>
        <v>Cartao de Credito</v>
      </c>
      <c r="D134" s="2">
        <f t="shared" ca="1" si="25"/>
        <v>5000</v>
      </c>
      <c r="E134" s="3">
        <f t="shared" ca="1" si="26"/>
        <v>2.19</v>
      </c>
      <c r="F134" s="4">
        <f t="shared" ca="1" si="27"/>
        <v>48</v>
      </c>
      <c r="G134">
        <f t="shared" ca="1" si="28"/>
        <v>457</v>
      </c>
      <c r="H134" t="str">
        <f t="shared" ca="1" si="29"/>
        <v>Alto</v>
      </c>
      <c r="I134" t="str">
        <f t="shared" ca="1" si="30"/>
        <v>Em Dia</v>
      </c>
      <c r="J134" t="str">
        <f t="shared" ca="1" si="31"/>
        <v>Centro-Oeste</v>
      </c>
      <c r="K134" t="str">
        <f t="shared" ca="1" si="32"/>
        <v>Ana Silva</v>
      </c>
    </row>
    <row r="135" spans="1:11" x14ac:dyDescent="0.25">
      <c r="A135" t="str">
        <f t="shared" si="22"/>
        <v>CLI-1133</v>
      </c>
      <c r="B135" s="1">
        <f t="shared" ca="1" si="23"/>
        <v>45775</v>
      </c>
      <c r="C135" t="str">
        <f t="shared" ca="1" si="24"/>
        <v>Financiamento Veiculo</v>
      </c>
      <c r="D135" s="2">
        <f t="shared" ca="1" si="25"/>
        <v>5000</v>
      </c>
      <c r="E135" s="3">
        <f t="shared" ca="1" si="26"/>
        <v>1.29</v>
      </c>
      <c r="F135" s="4">
        <f t="shared" ca="1" si="27"/>
        <v>360</v>
      </c>
      <c r="G135">
        <f t="shared" ca="1" si="28"/>
        <v>702</v>
      </c>
      <c r="H135" t="str">
        <f t="shared" ca="1" si="29"/>
        <v>Medio</v>
      </c>
      <c r="I135" t="str">
        <f t="shared" ca="1" si="30"/>
        <v>Em Dia</v>
      </c>
      <c r="J135" t="str">
        <f t="shared" ca="1" si="31"/>
        <v>Norte</v>
      </c>
      <c r="K135" t="str">
        <f t="shared" ca="1" si="32"/>
        <v>Carlos Mendes</v>
      </c>
    </row>
    <row r="136" spans="1:11" x14ac:dyDescent="0.25">
      <c r="A136" t="str">
        <f t="shared" si="22"/>
        <v>CLI-1134</v>
      </c>
      <c r="B136" s="1">
        <f t="shared" ca="1" si="23"/>
        <v>46192</v>
      </c>
      <c r="C136" t="str">
        <f t="shared" ca="1" si="24"/>
        <v>Credito Pessoal</v>
      </c>
      <c r="D136" s="2">
        <f t="shared" ca="1" si="25"/>
        <v>45000</v>
      </c>
      <c r="E136" s="3">
        <f t="shared" ca="1" si="26"/>
        <v>0.73</v>
      </c>
      <c r="F136" s="4">
        <f t="shared" ca="1" si="27"/>
        <v>12</v>
      </c>
      <c r="G136">
        <f t="shared" ca="1" si="28"/>
        <v>399</v>
      </c>
      <c r="H136" t="str">
        <f t="shared" ca="1" si="29"/>
        <v>Alto</v>
      </c>
      <c r="I136" t="str">
        <f t="shared" ca="1" si="30"/>
        <v>Em Dia</v>
      </c>
      <c r="J136" t="str">
        <f t="shared" ca="1" si="31"/>
        <v>Sul</v>
      </c>
      <c r="K136" t="str">
        <f t="shared" ca="1" si="32"/>
        <v>Carlos Mendes</v>
      </c>
    </row>
    <row r="137" spans="1:11" x14ac:dyDescent="0.25">
      <c r="A137" t="str">
        <f t="shared" si="22"/>
        <v>CLI-1135</v>
      </c>
      <c r="B137" s="1">
        <f t="shared" ca="1" si="23"/>
        <v>46230</v>
      </c>
      <c r="C137" t="str">
        <f t="shared" ca="1" si="24"/>
        <v>Cartao de Credito</v>
      </c>
      <c r="D137" s="2">
        <f t="shared" ca="1" si="25"/>
        <v>5000</v>
      </c>
      <c r="E137" s="3">
        <f t="shared" ca="1" si="26"/>
        <v>0.75</v>
      </c>
      <c r="F137" s="4">
        <f t="shared" ca="1" si="27"/>
        <v>24</v>
      </c>
      <c r="G137">
        <f t="shared" ca="1" si="28"/>
        <v>870</v>
      </c>
      <c r="H137" t="str">
        <f t="shared" ca="1" si="29"/>
        <v>Baixo</v>
      </c>
      <c r="I137" t="str">
        <f t="shared" ca="1" si="30"/>
        <v>Em Dia</v>
      </c>
      <c r="J137" t="str">
        <f t="shared" ca="1" si="31"/>
        <v>Sudeste</v>
      </c>
      <c r="K137" t="str">
        <f t="shared" ca="1" si="32"/>
        <v>Carlos Mendes</v>
      </c>
    </row>
    <row r="138" spans="1:11" x14ac:dyDescent="0.25">
      <c r="A138" t="str">
        <f t="shared" si="22"/>
        <v>CLI-1136</v>
      </c>
      <c r="B138" s="1">
        <f t="shared" ca="1" si="23"/>
        <v>45900</v>
      </c>
      <c r="C138" t="str">
        <f t="shared" ca="1" si="24"/>
        <v>Cartao de Credito</v>
      </c>
      <c r="D138" s="2">
        <f t="shared" ca="1" si="25"/>
        <v>45000</v>
      </c>
      <c r="E138" s="3">
        <f t="shared" ca="1" si="26"/>
        <v>3.95</v>
      </c>
      <c r="F138" s="4">
        <f t="shared" ca="1" si="27"/>
        <v>24</v>
      </c>
      <c r="G138">
        <f t="shared" ca="1" si="28"/>
        <v>327</v>
      </c>
      <c r="H138" t="str">
        <f t="shared" ca="1" si="29"/>
        <v>Alto</v>
      </c>
      <c r="I138" t="str">
        <f t="shared" ca="1" si="30"/>
        <v>Em Dia</v>
      </c>
      <c r="J138" t="str">
        <f t="shared" ca="1" si="31"/>
        <v>Centro-Oeste</v>
      </c>
      <c r="K138" t="str">
        <f t="shared" ca="1" si="32"/>
        <v>Joao Souza</v>
      </c>
    </row>
    <row r="139" spans="1:11" x14ac:dyDescent="0.25">
      <c r="A139" t="str">
        <f t="shared" si="22"/>
        <v>CLI-1137</v>
      </c>
      <c r="B139" s="1">
        <f t="shared" ca="1" si="23"/>
        <v>46160</v>
      </c>
      <c r="C139" t="str">
        <f t="shared" ca="1" si="24"/>
        <v>Financiamento Veiculo</v>
      </c>
      <c r="D139" s="2">
        <f t="shared" ca="1" si="25"/>
        <v>300000</v>
      </c>
      <c r="E139" s="3">
        <f t="shared" ca="1" si="26"/>
        <v>3.75</v>
      </c>
      <c r="F139" s="4">
        <f t="shared" ca="1" si="27"/>
        <v>12</v>
      </c>
      <c r="G139">
        <f t="shared" ca="1" si="28"/>
        <v>893</v>
      </c>
      <c r="H139" t="str">
        <f t="shared" ca="1" si="29"/>
        <v>Baixo</v>
      </c>
      <c r="I139" t="str">
        <f t="shared" ca="1" si="30"/>
        <v>Em Dia</v>
      </c>
      <c r="J139" t="str">
        <f t="shared" ca="1" si="31"/>
        <v>Nordeste</v>
      </c>
      <c r="K139" t="str">
        <f t="shared" ca="1" si="32"/>
        <v>Maria Lima</v>
      </c>
    </row>
    <row r="140" spans="1:11" x14ac:dyDescent="0.25">
      <c r="A140" t="str">
        <f t="shared" si="22"/>
        <v>CLI-1138</v>
      </c>
      <c r="B140" s="1">
        <f t="shared" ca="1" si="23"/>
        <v>45966</v>
      </c>
      <c r="C140" t="str">
        <f t="shared" ca="1" si="24"/>
        <v>Credito Consignado</v>
      </c>
      <c r="D140" s="2">
        <f t="shared" ca="1" si="25"/>
        <v>80000</v>
      </c>
      <c r="E140" s="3">
        <f t="shared" ca="1" si="26"/>
        <v>0.79</v>
      </c>
      <c r="F140" s="4">
        <f t="shared" ca="1" si="27"/>
        <v>12</v>
      </c>
      <c r="G140">
        <f t="shared" ca="1" si="28"/>
        <v>889</v>
      </c>
      <c r="H140" t="str">
        <f t="shared" ca="1" si="29"/>
        <v>Baixo</v>
      </c>
      <c r="I140" t="str">
        <f t="shared" ca="1" si="30"/>
        <v>Em Dia</v>
      </c>
      <c r="J140" t="str">
        <f t="shared" ca="1" si="31"/>
        <v>Sudeste</v>
      </c>
      <c r="K140" t="str">
        <f t="shared" ca="1" si="32"/>
        <v>Joao Souza</v>
      </c>
    </row>
    <row r="141" spans="1:11" x14ac:dyDescent="0.25">
      <c r="A141" t="str">
        <f t="shared" si="22"/>
        <v>CLI-1139</v>
      </c>
      <c r="B141" s="1">
        <f t="shared" ca="1" si="23"/>
        <v>46024</v>
      </c>
      <c r="C141" t="str">
        <f t="shared" ca="1" si="24"/>
        <v>Credito Consignado</v>
      </c>
      <c r="D141" s="2">
        <f t="shared" ca="1" si="25"/>
        <v>5000</v>
      </c>
      <c r="E141" s="3">
        <f t="shared" ca="1" si="26"/>
        <v>4.29</v>
      </c>
      <c r="F141" s="4">
        <f t="shared" ca="1" si="27"/>
        <v>12</v>
      </c>
      <c r="G141">
        <f t="shared" ca="1" si="28"/>
        <v>820</v>
      </c>
      <c r="H141" t="str">
        <f t="shared" ca="1" si="29"/>
        <v>Baixo</v>
      </c>
      <c r="I141" t="str">
        <f t="shared" ca="1" si="30"/>
        <v>Em Dia</v>
      </c>
      <c r="J141" t="str">
        <f t="shared" ca="1" si="31"/>
        <v>Sudeste</v>
      </c>
      <c r="K141" t="str">
        <f t="shared" ca="1" si="32"/>
        <v>Joao Souza</v>
      </c>
    </row>
    <row r="142" spans="1:11" x14ac:dyDescent="0.25">
      <c r="A142" t="str">
        <f t="shared" si="22"/>
        <v>CLI-1140</v>
      </c>
      <c r="B142" s="1">
        <f t="shared" ca="1" si="23"/>
        <v>45802</v>
      </c>
      <c r="C142" t="str">
        <f t="shared" ca="1" si="24"/>
        <v>Cartao de Credito</v>
      </c>
      <c r="D142" s="2">
        <f t="shared" ca="1" si="25"/>
        <v>45000</v>
      </c>
      <c r="E142" s="3">
        <f t="shared" ca="1" si="26"/>
        <v>1.2</v>
      </c>
      <c r="F142" s="4">
        <f t="shared" ca="1" si="27"/>
        <v>120</v>
      </c>
      <c r="G142">
        <f t="shared" ca="1" si="28"/>
        <v>448</v>
      </c>
      <c r="H142" t="str">
        <f t="shared" ca="1" si="29"/>
        <v>Alto</v>
      </c>
      <c r="I142" t="str">
        <f t="shared" ca="1" si="30"/>
        <v>Em Dia</v>
      </c>
      <c r="J142" t="str">
        <f t="shared" ca="1" si="31"/>
        <v>Sudeste</v>
      </c>
      <c r="K142" t="str">
        <f t="shared" ca="1" si="32"/>
        <v>Maria Lima</v>
      </c>
    </row>
    <row r="143" spans="1:11" x14ac:dyDescent="0.25">
      <c r="A143" t="str">
        <f t="shared" si="22"/>
        <v>CLI-1141</v>
      </c>
      <c r="B143" s="1">
        <f t="shared" ca="1" si="23"/>
        <v>45775</v>
      </c>
      <c r="C143" t="str">
        <f t="shared" ca="1" si="24"/>
        <v>Financiamento Veiculo</v>
      </c>
      <c r="D143" s="2">
        <f t="shared" ca="1" si="25"/>
        <v>5000</v>
      </c>
      <c r="E143" s="3">
        <f t="shared" ca="1" si="26"/>
        <v>2.14</v>
      </c>
      <c r="F143" s="4">
        <f t="shared" ca="1" si="27"/>
        <v>24</v>
      </c>
      <c r="G143">
        <f t="shared" ca="1" si="28"/>
        <v>907</v>
      </c>
      <c r="H143" t="str">
        <f t="shared" ca="1" si="29"/>
        <v>Baixo</v>
      </c>
      <c r="I143" t="str">
        <f t="shared" ca="1" si="30"/>
        <v>Em Dia</v>
      </c>
      <c r="J143" t="str">
        <f t="shared" ca="1" si="31"/>
        <v>Sudeste</v>
      </c>
      <c r="K143" t="str">
        <f t="shared" ca="1" si="32"/>
        <v>Maria Lima</v>
      </c>
    </row>
    <row r="144" spans="1:11" x14ac:dyDescent="0.25">
      <c r="A144" t="str">
        <f t="shared" si="22"/>
        <v>CLI-1142</v>
      </c>
      <c r="B144" s="1">
        <f t="shared" ca="1" si="23"/>
        <v>45848</v>
      </c>
      <c r="C144" t="str">
        <f t="shared" ca="1" si="24"/>
        <v>Financiamento Veiculo</v>
      </c>
      <c r="D144" s="2">
        <f t="shared" ca="1" si="25"/>
        <v>45000</v>
      </c>
      <c r="E144" s="3">
        <f t="shared" ca="1" si="26"/>
        <v>2.65</v>
      </c>
      <c r="F144" s="4">
        <f t="shared" ca="1" si="27"/>
        <v>120</v>
      </c>
      <c r="G144">
        <f t="shared" ca="1" si="28"/>
        <v>638</v>
      </c>
      <c r="H144" t="str">
        <f t="shared" ca="1" si="29"/>
        <v>Medio</v>
      </c>
      <c r="I144" t="str">
        <f t="shared" ca="1" si="30"/>
        <v>Em Dia</v>
      </c>
      <c r="J144" t="str">
        <f t="shared" ca="1" si="31"/>
        <v>Sudeste</v>
      </c>
      <c r="K144" t="str">
        <f t="shared" ca="1" si="32"/>
        <v>Joao Souza</v>
      </c>
    </row>
    <row r="145" spans="1:11" x14ac:dyDescent="0.25">
      <c r="A145" t="str">
        <f t="shared" si="22"/>
        <v>CLI-1143</v>
      </c>
      <c r="B145" s="1">
        <f t="shared" ca="1" si="23"/>
        <v>46209</v>
      </c>
      <c r="C145" t="str">
        <f t="shared" ca="1" si="24"/>
        <v>Financiamento Veiculo</v>
      </c>
      <c r="D145" s="2">
        <f t="shared" ca="1" si="25"/>
        <v>300000</v>
      </c>
      <c r="E145" s="3">
        <f t="shared" ca="1" si="26"/>
        <v>2.0499999999999998</v>
      </c>
      <c r="F145" s="4">
        <f t="shared" ca="1" si="27"/>
        <v>12</v>
      </c>
      <c r="G145">
        <f t="shared" ca="1" si="28"/>
        <v>704</v>
      </c>
      <c r="H145" t="str">
        <f t="shared" ca="1" si="29"/>
        <v>Medio</v>
      </c>
      <c r="I145" t="str">
        <f t="shared" ca="1" si="30"/>
        <v>Em Dia</v>
      </c>
      <c r="J145" t="str">
        <f t="shared" ca="1" si="31"/>
        <v>Centro-Oeste</v>
      </c>
      <c r="K145" t="str">
        <f t="shared" ca="1" si="32"/>
        <v>Carlos Mendes</v>
      </c>
    </row>
    <row r="146" spans="1:11" x14ac:dyDescent="0.25">
      <c r="A146" t="str">
        <f t="shared" si="22"/>
        <v>CLI-1144</v>
      </c>
      <c r="B146" s="1">
        <f t="shared" ca="1" si="23"/>
        <v>46070</v>
      </c>
      <c r="C146" t="str">
        <f t="shared" ca="1" si="24"/>
        <v>Credito Imobiliario</v>
      </c>
      <c r="D146" s="2">
        <f t="shared" ca="1" si="25"/>
        <v>150000</v>
      </c>
      <c r="E146" s="3">
        <f t="shared" ca="1" si="26"/>
        <v>1.58</v>
      </c>
      <c r="F146" s="4">
        <f t="shared" ca="1" si="27"/>
        <v>12</v>
      </c>
      <c r="G146">
        <f t="shared" ca="1" si="28"/>
        <v>887</v>
      </c>
      <c r="H146" t="str">
        <f t="shared" ca="1" si="29"/>
        <v>Baixo</v>
      </c>
      <c r="I146" t="str">
        <f t="shared" ca="1" si="30"/>
        <v>Em Dia</v>
      </c>
      <c r="J146" t="str">
        <f t="shared" ca="1" si="31"/>
        <v>Sul</v>
      </c>
      <c r="K146" t="str">
        <f t="shared" ca="1" si="32"/>
        <v>Carlos Mendes</v>
      </c>
    </row>
    <row r="147" spans="1:11" x14ac:dyDescent="0.25">
      <c r="A147" t="str">
        <f t="shared" si="22"/>
        <v>CLI-1145</v>
      </c>
      <c r="B147" s="1">
        <f t="shared" ca="1" si="23"/>
        <v>45968</v>
      </c>
      <c r="C147" t="str">
        <f t="shared" ca="1" si="24"/>
        <v>Credito Pessoal</v>
      </c>
      <c r="D147" s="2">
        <f t="shared" ca="1" si="25"/>
        <v>80000</v>
      </c>
      <c r="E147" s="3">
        <f t="shared" ca="1" si="26"/>
        <v>3.92</v>
      </c>
      <c r="F147" s="4">
        <f t="shared" ca="1" si="27"/>
        <v>60</v>
      </c>
      <c r="G147">
        <f t="shared" ca="1" si="28"/>
        <v>378</v>
      </c>
      <c r="H147" t="str">
        <f t="shared" ca="1" si="29"/>
        <v>Alto</v>
      </c>
      <c r="I147" t="str">
        <f t="shared" ca="1" si="30"/>
        <v>Em Dia</v>
      </c>
      <c r="J147" t="str">
        <f t="shared" ca="1" si="31"/>
        <v>Centro-Oeste</v>
      </c>
      <c r="K147" t="str">
        <f t="shared" ca="1" si="32"/>
        <v>Maria Lima</v>
      </c>
    </row>
    <row r="148" spans="1:11" x14ac:dyDescent="0.25">
      <c r="A148" t="str">
        <f t="shared" si="22"/>
        <v>CLI-1146</v>
      </c>
      <c r="B148" s="1">
        <f t="shared" ca="1" si="23"/>
        <v>45876</v>
      </c>
      <c r="C148" t="str">
        <f t="shared" ca="1" si="24"/>
        <v>Cartao de Credito</v>
      </c>
      <c r="D148" s="2">
        <f t="shared" ca="1" si="25"/>
        <v>150000</v>
      </c>
      <c r="E148" s="3">
        <f t="shared" ca="1" si="26"/>
        <v>3.68</v>
      </c>
      <c r="F148" s="4">
        <f t="shared" ca="1" si="27"/>
        <v>48</v>
      </c>
      <c r="G148">
        <f t="shared" ca="1" si="28"/>
        <v>700</v>
      </c>
      <c r="H148" t="str">
        <f t="shared" ca="1" si="29"/>
        <v>Medio</v>
      </c>
      <c r="I148" t="str">
        <f t="shared" ca="1" si="30"/>
        <v>Atraso 30d</v>
      </c>
      <c r="J148" t="str">
        <f t="shared" ca="1" si="31"/>
        <v>Sudeste</v>
      </c>
      <c r="K148" t="str">
        <f t="shared" ca="1" si="32"/>
        <v>Joao Souza</v>
      </c>
    </row>
    <row r="149" spans="1:11" x14ac:dyDescent="0.25">
      <c r="A149" t="str">
        <f t="shared" si="22"/>
        <v>CLI-1147</v>
      </c>
      <c r="B149" s="1">
        <f t="shared" ca="1" si="23"/>
        <v>46240</v>
      </c>
      <c r="C149" t="str">
        <f t="shared" ca="1" si="24"/>
        <v>Cartao de Credito</v>
      </c>
      <c r="D149" s="2">
        <f t="shared" ca="1" si="25"/>
        <v>150000</v>
      </c>
      <c r="E149" s="3">
        <f t="shared" ca="1" si="26"/>
        <v>4.2</v>
      </c>
      <c r="F149" s="4">
        <f t="shared" ca="1" si="27"/>
        <v>48</v>
      </c>
      <c r="G149">
        <f t="shared" ca="1" si="28"/>
        <v>633</v>
      </c>
      <c r="H149" t="str">
        <f t="shared" ca="1" si="29"/>
        <v>Medio</v>
      </c>
      <c r="I149" t="str">
        <f t="shared" ca="1" si="30"/>
        <v>Em Dia</v>
      </c>
      <c r="J149" t="str">
        <f t="shared" ca="1" si="31"/>
        <v>Sudeste</v>
      </c>
      <c r="K149" t="str">
        <f t="shared" ca="1" si="32"/>
        <v>Ana Silva</v>
      </c>
    </row>
    <row r="150" spans="1:11" x14ac:dyDescent="0.25">
      <c r="A150" t="str">
        <f t="shared" si="22"/>
        <v>CLI-1148</v>
      </c>
      <c r="B150" s="1">
        <f t="shared" ca="1" si="23"/>
        <v>45868</v>
      </c>
      <c r="C150" t="str">
        <f t="shared" ca="1" si="24"/>
        <v>Credito Pessoal</v>
      </c>
      <c r="D150" s="2">
        <f t="shared" ca="1" si="25"/>
        <v>150000</v>
      </c>
      <c r="E150" s="3">
        <f t="shared" ca="1" si="26"/>
        <v>4.25</v>
      </c>
      <c r="F150" s="4">
        <f t="shared" ca="1" si="27"/>
        <v>36</v>
      </c>
      <c r="G150">
        <f t="shared" ca="1" si="28"/>
        <v>565</v>
      </c>
      <c r="H150" t="str">
        <f t="shared" ca="1" si="29"/>
        <v>Alto</v>
      </c>
      <c r="I150" t="str">
        <f t="shared" ca="1" si="30"/>
        <v>Em Dia</v>
      </c>
      <c r="J150" t="str">
        <f t="shared" ca="1" si="31"/>
        <v>Centro-Oeste</v>
      </c>
      <c r="K150" t="str">
        <f t="shared" ca="1" si="32"/>
        <v>Maria Lima</v>
      </c>
    </row>
    <row r="151" spans="1:11" x14ac:dyDescent="0.25">
      <c r="A151" t="str">
        <f t="shared" si="22"/>
        <v>CLI-1149</v>
      </c>
      <c r="B151" s="1">
        <f t="shared" ca="1" si="23"/>
        <v>45893</v>
      </c>
      <c r="C151" t="str">
        <f t="shared" ca="1" si="24"/>
        <v>Credito Imobiliario</v>
      </c>
      <c r="D151" s="2">
        <f t="shared" ca="1" si="25"/>
        <v>5000</v>
      </c>
      <c r="E151" s="3">
        <f t="shared" ca="1" si="26"/>
        <v>4.2300000000000004</v>
      </c>
      <c r="F151" s="4">
        <f t="shared" ca="1" si="27"/>
        <v>360</v>
      </c>
      <c r="G151">
        <f t="shared" ca="1" si="28"/>
        <v>337</v>
      </c>
      <c r="H151" t="str">
        <f t="shared" ca="1" si="29"/>
        <v>Alto</v>
      </c>
      <c r="I151" t="str">
        <f t="shared" ca="1" si="30"/>
        <v>Inadimplente</v>
      </c>
      <c r="J151" t="str">
        <f t="shared" ca="1" si="31"/>
        <v>Sudeste</v>
      </c>
      <c r="K151" t="str">
        <f t="shared" ca="1" si="32"/>
        <v>Maria Lima</v>
      </c>
    </row>
    <row r="152" spans="1:11" x14ac:dyDescent="0.25">
      <c r="A152" t="str">
        <f t="shared" si="22"/>
        <v>CLI-1150</v>
      </c>
      <c r="B152" s="1">
        <f t="shared" ca="1" si="23"/>
        <v>46018</v>
      </c>
      <c r="C152" t="str">
        <f t="shared" ca="1" si="24"/>
        <v>Credito Pessoal</v>
      </c>
      <c r="D152" s="2">
        <f t="shared" ca="1" si="25"/>
        <v>45000</v>
      </c>
      <c r="E152" s="3">
        <f t="shared" ca="1" si="26"/>
        <v>2.94</v>
      </c>
      <c r="F152" s="4">
        <f t="shared" ca="1" si="27"/>
        <v>48</v>
      </c>
      <c r="G152">
        <f t="shared" ca="1" si="28"/>
        <v>571</v>
      </c>
      <c r="H152" t="str">
        <f t="shared" ca="1" si="29"/>
        <v>Alto</v>
      </c>
      <c r="I152" t="str">
        <f t="shared" ca="1" si="30"/>
        <v>Em Dia</v>
      </c>
      <c r="J152" t="str">
        <f t="shared" ca="1" si="31"/>
        <v>Nordeste</v>
      </c>
      <c r="K152" t="str">
        <f t="shared" ca="1" si="32"/>
        <v>Carlos Mendes</v>
      </c>
    </row>
    <row r="153" spans="1:11" x14ac:dyDescent="0.25">
      <c r="A153" t="str">
        <f t="shared" si="22"/>
        <v>CLI-1151</v>
      </c>
      <c r="B153" s="1">
        <f t="shared" ca="1" si="23"/>
        <v>46245</v>
      </c>
      <c r="C153" t="str">
        <f t="shared" ca="1" si="24"/>
        <v>Credito Pessoal</v>
      </c>
      <c r="D153" s="2">
        <f t="shared" ca="1" si="25"/>
        <v>25000</v>
      </c>
      <c r="E153" s="3">
        <f t="shared" ca="1" si="26"/>
        <v>3.33</v>
      </c>
      <c r="F153" s="4">
        <f t="shared" ca="1" si="27"/>
        <v>12</v>
      </c>
      <c r="G153">
        <f t="shared" ca="1" si="28"/>
        <v>569</v>
      </c>
      <c r="H153" t="str">
        <f t="shared" ca="1" si="29"/>
        <v>Alto</v>
      </c>
      <c r="I153" t="str">
        <f t="shared" ca="1" si="30"/>
        <v>Em Dia</v>
      </c>
      <c r="J153" t="str">
        <f t="shared" ca="1" si="31"/>
        <v>Nordeste</v>
      </c>
      <c r="K153" t="str">
        <f t="shared" ca="1" si="32"/>
        <v>Maria Lima</v>
      </c>
    </row>
    <row r="154" spans="1:11" x14ac:dyDescent="0.25">
      <c r="A154" t="str">
        <f t="shared" si="22"/>
        <v>CLI-1152</v>
      </c>
      <c r="B154" s="1">
        <f t="shared" ca="1" si="23"/>
        <v>45940</v>
      </c>
      <c r="C154" t="str">
        <f t="shared" ca="1" si="24"/>
        <v>Financiamento Veiculo</v>
      </c>
      <c r="D154" s="2">
        <f t="shared" ca="1" si="25"/>
        <v>5000</v>
      </c>
      <c r="E154" s="3">
        <f t="shared" ca="1" si="26"/>
        <v>0.83</v>
      </c>
      <c r="F154" s="4">
        <f t="shared" ca="1" si="27"/>
        <v>12</v>
      </c>
      <c r="G154">
        <f t="shared" ca="1" si="28"/>
        <v>631</v>
      </c>
      <c r="H154" t="str">
        <f t="shared" ca="1" si="29"/>
        <v>Medio</v>
      </c>
      <c r="I154" t="str">
        <f t="shared" ca="1" si="30"/>
        <v>Em Dia</v>
      </c>
      <c r="J154" t="str">
        <f t="shared" ca="1" si="31"/>
        <v>Norte</v>
      </c>
      <c r="K154" t="str">
        <f t="shared" ca="1" si="32"/>
        <v>Joao Souza</v>
      </c>
    </row>
    <row r="155" spans="1:11" x14ac:dyDescent="0.25">
      <c r="A155" t="str">
        <f t="shared" si="22"/>
        <v>CLI-1153</v>
      </c>
      <c r="B155" s="1">
        <f t="shared" ca="1" si="23"/>
        <v>45957</v>
      </c>
      <c r="C155" t="str">
        <f t="shared" ca="1" si="24"/>
        <v>Credito Imobiliario</v>
      </c>
      <c r="D155" s="2">
        <f t="shared" ca="1" si="25"/>
        <v>300000</v>
      </c>
      <c r="E155" s="3">
        <f t="shared" ca="1" si="26"/>
        <v>0.94</v>
      </c>
      <c r="F155" s="4">
        <f t="shared" ca="1" si="27"/>
        <v>60</v>
      </c>
      <c r="G155">
        <f t="shared" ca="1" si="28"/>
        <v>637</v>
      </c>
      <c r="H155" t="str">
        <f t="shared" ca="1" si="29"/>
        <v>Medio</v>
      </c>
      <c r="I155" t="str">
        <f t="shared" ca="1" si="30"/>
        <v>Inadimplente</v>
      </c>
      <c r="J155" t="str">
        <f t="shared" ca="1" si="31"/>
        <v>Norte</v>
      </c>
      <c r="K155" t="str">
        <f t="shared" ca="1" si="32"/>
        <v>Maria Lima</v>
      </c>
    </row>
    <row r="156" spans="1:11" x14ac:dyDescent="0.25">
      <c r="A156" t="str">
        <f t="shared" si="22"/>
        <v>CLI-1154</v>
      </c>
      <c r="B156" s="1">
        <f t="shared" ca="1" si="23"/>
        <v>46029</v>
      </c>
      <c r="C156" t="str">
        <f t="shared" ca="1" si="24"/>
        <v>Cartao de Credito</v>
      </c>
      <c r="D156" s="2">
        <f t="shared" ca="1" si="25"/>
        <v>300000</v>
      </c>
      <c r="E156" s="3">
        <f t="shared" ca="1" si="26"/>
        <v>1.97</v>
      </c>
      <c r="F156" s="4">
        <f t="shared" ca="1" si="27"/>
        <v>24</v>
      </c>
      <c r="G156">
        <f t="shared" ca="1" si="28"/>
        <v>700</v>
      </c>
      <c r="H156" t="str">
        <f t="shared" ca="1" si="29"/>
        <v>Medio</v>
      </c>
      <c r="I156" t="str">
        <f t="shared" ca="1" si="30"/>
        <v>Em Dia</v>
      </c>
      <c r="J156" t="str">
        <f t="shared" ca="1" si="31"/>
        <v>Nordeste</v>
      </c>
      <c r="K156" t="str">
        <f t="shared" ca="1" si="32"/>
        <v>Maria Lima</v>
      </c>
    </row>
    <row r="157" spans="1:11" x14ac:dyDescent="0.25">
      <c r="A157" t="str">
        <f t="shared" si="22"/>
        <v>CLI-1155</v>
      </c>
      <c r="B157" s="1">
        <f t="shared" ca="1" si="23"/>
        <v>46096</v>
      </c>
      <c r="C157" t="str">
        <f t="shared" ca="1" si="24"/>
        <v>Credito Pessoal</v>
      </c>
      <c r="D157" s="2">
        <f t="shared" ca="1" si="25"/>
        <v>25000</v>
      </c>
      <c r="E157" s="3">
        <f t="shared" ca="1" si="26"/>
        <v>0.83</v>
      </c>
      <c r="F157" s="4">
        <f t="shared" ca="1" si="27"/>
        <v>48</v>
      </c>
      <c r="G157">
        <f t="shared" ca="1" si="28"/>
        <v>385</v>
      </c>
      <c r="H157" t="str">
        <f t="shared" ca="1" si="29"/>
        <v>Alto</v>
      </c>
      <c r="I157" t="str">
        <f t="shared" ca="1" si="30"/>
        <v>Em Dia</v>
      </c>
      <c r="J157" t="str">
        <f t="shared" ca="1" si="31"/>
        <v>Nordeste</v>
      </c>
      <c r="K157" t="str">
        <f t="shared" ca="1" si="32"/>
        <v>Maria Lima</v>
      </c>
    </row>
    <row r="158" spans="1:11" x14ac:dyDescent="0.25">
      <c r="A158" t="str">
        <f t="shared" si="22"/>
        <v>CLI-1156</v>
      </c>
      <c r="B158" s="1">
        <f t="shared" ca="1" si="23"/>
        <v>46215</v>
      </c>
      <c r="C158" t="str">
        <f t="shared" ca="1" si="24"/>
        <v>Cartao de Credito</v>
      </c>
      <c r="D158" s="2">
        <f t="shared" ca="1" si="25"/>
        <v>25000</v>
      </c>
      <c r="E158" s="3">
        <f t="shared" ca="1" si="26"/>
        <v>4.04</v>
      </c>
      <c r="F158" s="4">
        <f t="shared" ca="1" si="27"/>
        <v>12</v>
      </c>
      <c r="G158">
        <f t="shared" ca="1" si="28"/>
        <v>921</v>
      </c>
      <c r="H158" t="str">
        <f t="shared" ca="1" si="29"/>
        <v>Baixo</v>
      </c>
      <c r="I158" t="str">
        <f t="shared" ca="1" si="30"/>
        <v>Atraso 60d</v>
      </c>
      <c r="J158" t="str">
        <f t="shared" ca="1" si="31"/>
        <v>Sul</v>
      </c>
      <c r="K158" t="str">
        <f t="shared" ca="1" si="32"/>
        <v>Joao Souza</v>
      </c>
    </row>
    <row r="159" spans="1:11" x14ac:dyDescent="0.25">
      <c r="A159" t="str">
        <f t="shared" si="22"/>
        <v>CLI-1157</v>
      </c>
      <c r="B159" s="1">
        <f t="shared" ca="1" si="23"/>
        <v>46087</v>
      </c>
      <c r="C159" t="str">
        <f t="shared" ca="1" si="24"/>
        <v>Financiamento Veiculo</v>
      </c>
      <c r="D159" s="2">
        <f t="shared" ca="1" si="25"/>
        <v>80000</v>
      </c>
      <c r="E159" s="3">
        <f t="shared" ca="1" si="26"/>
        <v>1.1499999999999999</v>
      </c>
      <c r="F159" s="4">
        <f t="shared" ca="1" si="27"/>
        <v>12</v>
      </c>
      <c r="G159">
        <f t="shared" ca="1" si="28"/>
        <v>363</v>
      </c>
      <c r="H159" t="str">
        <f t="shared" ca="1" si="29"/>
        <v>Alto</v>
      </c>
      <c r="I159" t="str">
        <f t="shared" ca="1" si="30"/>
        <v>Inadimplente</v>
      </c>
      <c r="J159" t="str">
        <f t="shared" ca="1" si="31"/>
        <v>Centro-Oeste</v>
      </c>
      <c r="K159" t="str">
        <f t="shared" ca="1" si="32"/>
        <v>Carlos Mendes</v>
      </c>
    </row>
    <row r="160" spans="1:11" x14ac:dyDescent="0.25">
      <c r="A160" t="str">
        <f t="shared" si="22"/>
        <v>CLI-1158</v>
      </c>
      <c r="B160" s="1">
        <f t="shared" ca="1" si="23"/>
        <v>45993</v>
      </c>
      <c r="C160" t="str">
        <f t="shared" ca="1" si="24"/>
        <v>Cartao de Credito</v>
      </c>
      <c r="D160" s="2">
        <f t="shared" ca="1" si="25"/>
        <v>12000</v>
      </c>
      <c r="E160" s="3">
        <f t="shared" ca="1" si="26"/>
        <v>1.47</v>
      </c>
      <c r="F160" s="4">
        <f t="shared" ca="1" si="27"/>
        <v>36</v>
      </c>
      <c r="G160">
        <f t="shared" ca="1" si="28"/>
        <v>618</v>
      </c>
      <c r="H160" t="str">
        <f t="shared" ca="1" si="29"/>
        <v>Medio</v>
      </c>
      <c r="I160" t="str">
        <f t="shared" ca="1" si="30"/>
        <v>Em Dia</v>
      </c>
      <c r="J160" t="str">
        <f t="shared" ca="1" si="31"/>
        <v>Sudeste</v>
      </c>
      <c r="K160" t="str">
        <f t="shared" ca="1" si="32"/>
        <v>Pedro Costa</v>
      </c>
    </row>
    <row r="161" spans="1:11" x14ac:dyDescent="0.25">
      <c r="A161" t="str">
        <f t="shared" si="22"/>
        <v>CLI-1159</v>
      </c>
      <c r="B161" s="1">
        <f t="shared" ca="1" si="23"/>
        <v>46163</v>
      </c>
      <c r="C161" t="str">
        <f t="shared" ca="1" si="24"/>
        <v>Credito Imobiliario</v>
      </c>
      <c r="D161" s="2">
        <f t="shared" ca="1" si="25"/>
        <v>45000</v>
      </c>
      <c r="E161" s="3">
        <f t="shared" ca="1" si="26"/>
        <v>2.69</v>
      </c>
      <c r="F161" s="4">
        <f t="shared" ca="1" si="27"/>
        <v>60</v>
      </c>
      <c r="G161">
        <f t="shared" ca="1" si="28"/>
        <v>773</v>
      </c>
      <c r="H161" t="str">
        <f t="shared" ca="1" si="29"/>
        <v>Baixo</v>
      </c>
      <c r="I161" t="str">
        <f t="shared" ca="1" si="30"/>
        <v>Em Dia</v>
      </c>
      <c r="J161" t="str">
        <f t="shared" ca="1" si="31"/>
        <v>Centro-Oeste</v>
      </c>
      <c r="K161" t="str">
        <f t="shared" ca="1" si="32"/>
        <v>Carlos Mendes</v>
      </c>
    </row>
    <row r="162" spans="1:11" x14ac:dyDescent="0.25">
      <c r="A162" t="str">
        <f t="shared" si="22"/>
        <v>CLI-1160</v>
      </c>
      <c r="B162" s="1">
        <f t="shared" ca="1" si="23"/>
        <v>45841</v>
      </c>
      <c r="C162" t="str">
        <f t="shared" ca="1" si="24"/>
        <v>Cartao de Credito</v>
      </c>
      <c r="D162" s="2">
        <f t="shared" ca="1" si="25"/>
        <v>25000</v>
      </c>
      <c r="E162" s="3">
        <f t="shared" ca="1" si="26"/>
        <v>4.46</v>
      </c>
      <c r="F162" s="4">
        <f t="shared" ca="1" si="27"/>
        <v>12</v>
      </c>
      <c r="G162">
        <f t="shared" ca="1" si="28"/>
        <v>526</v>
      </c>
      <c r="H162" t="str">
        <f t="shared" ca="1" si="29"/>
        <v>Alto</v>
      </c>
      <c r="I162" t="str">
        <f t="shared" ca="1" si="30"/>
        <v>Atraso 60d</v>
      </c>
      <c r="J162" t="str">
        <f t="shared" ca="1" si="31"/>
        <v>Norte</v>
      </c>
      <c r="K162" t="str">
        <f t="shared" ca="1" si="32"/>
        <v>Joao Souza</v>
      </c>
    </row>
    <row r="163" spans="1:11" x14ac:dyDescent="0.25">
      <c r="A163" t="str">
        <f t="shared" si="22"/>
        <v>CLI-1161</v>
      </c>
      <c r="B163" s="1">
        <f t="shared" ca="1" si="23"/>
        <v>46135</v>
      </c>
      <c r="C163" t="str">
        <f t="shared" ca="1" si="24"/>
        <v>Credito Pessoal</v>
      </c>
      <c r="D163" s="2">
        <f t="shared" ca="1" si="25"/>
        <v>45000</v>
      </c>
      <c r="E163" s="3">
        <f t="shared" ca="1" si="26"/>
        <v>2.58</v>
      </c>
      <c r="F163" s="4">
        <f t="shared" ca="1" si="27"/>
        <v>48</v>
      </c>
      <c r="G163">
        <f t="shared" ca="1" si="28"/>
        <v>865</v>
      </c>
      <c r="H163" t="str">
        <f t="shared" ca="1" si="29"/>
        <v>Baixo</v>
      </c>
      <c r="I163" t="str">
        <f t="shared" ca="1" si="30"/>
        <v>Em Dia</v>
      </c>
      <c r="J163" t="str">
        <f t="shared" ca="1" si="31"/>
        <v>Centro-Oeste</v>
      </c>
      <c r="K163" t="str">
        <f t="shared" ca="1" si="32"/>
        <v>Joao Souza</v>
      </c>
    </row>
    <row r="164" spans="1:11" x14ac:dyDescent="0.25">
      <c r="A164" t="str">
        <f t="shared" si="22"/>
        <v>CLI-1162</v>
      </c>
      <c r="B164" s="1">
        <f t="shared" ca="1" si="23"/>
        <v>45816</v>
      </c>
      <c r="C164" t="str">
        <f t="shared" ca="1" si="24"/>
        <v>Financiamento Veiculo</v>
      </c>
      <c r="D164" s="2">
        <f t="shared" ca="1" si="25"/>
        <v>25000</v>
      </c>
      <c r="E164" s="3">
        <f t="shared" ca="1" si="26"/>
        <v>2.39</v>
      </c>
      <c r="F164" s="4">
        <f t="shared" ca="1" si="27"/>
        <v>12</v>
      </c>
      <c r="G164">
        <f t="shared" ca="1" si="28"/>
        <v>941</v>
      </c>
      <c r="H164" t="str">
        <f t="shared" ca="1" si="29"/>
        <v>Baixo</v>
      </c>
      <c r="I164" t="str">
        <f t="shared" ca="1" si="30"/>
        <v>Atraso 30d</v>
      </c>
      <c r="J164" t="str">
        <f t="shared" ca="1" si="31"/>
        <v>Sudeste</v>
      </c>
      <c r="K164" t="str">
        <f t="shared" ca="1" si="32"/>
        <v>Ana Silva</v>
      </c>
    </row>
    <row r="165" spans="1:11" x14ac:dyDescent="0.25">
      <c r="A165" t="str">
        <f t="shared" si="22"/>
        <v>CLI-1163</v>
      </c>
      <c r="B165" s="1">
        <f t="shared" ca="1" si="23"/>
        <v>45949</v>
      </c>
      <c r="C165" t="str">
        <f t="shared" ca="1" si="24"/>
        <v>Credito Consignado</v>
      </c>
      <c r="D165" s="2">
        <f t="shared" ca="1" si="25"/>
        <v>12000</v>
      </c>
      <c r="E165" s="3">
        <f t="shared" ca="1" si="26"/>
        <v>4.28</v>
      </c>
      <c r="F165" s="4">
        <f t="shared" ca="1" si="27"/>
        <v>12</v>
      </c>
      <c r="G165">
        <f t="shared" ca="1" si="28"/>
        <v>908</v>
      </c>
      <c r="H165" t="str">
        <f t="shared" ca="1" si="29"/>
        <v>Baixo</v>
      </c>
      <c r="I165" t="str">
        <f t="shared" ca="1" si="30"/>
        <v>Em Dia</v>
      </c>
      <c r="J165" t="str">
        <f t="shared" ca="1" si="31"/>
        <v>Sul</v>
      </c>
      <c r="K165" t="str">
        <f t="shared" ca="1" si="32"/>
        <v>Maria Lima</v>
      </c>
    </row>
    <row r="166" spans="1:11" x14ac:dyDescent="0.25">
      <c r="A166" t="str">
        <f t="shared" si="22"/>
        <v>CLI-1164</v>
      </c>
      <c r="B166" s="1">
        <f t="shared" ca="1" si="23"/>
        <v>46119</v>
      </c>
      <c r="C166" t="str">
        <f t="shared" ca="1" si="24"/>
        <v>Financiamento Veiculo</v>
      </c>
      <c r="D166" s="2">
        <f t="shared" ca="1" si="25"/>
        <v>80000</v>
      </c>
      <c r="E166" s="3">
        <f t="shared" ca="1" si="26"/>
        <v>3.89</v>
      </c>
      <c r="F166" s="4">
        <f t="shared" ca="1" si="27"/>
        <v>36</v>
      </c>
      <c r="G166">
        <f t="shared" ca="1" si="28"/>
        <v>476</v>
      </c>
      <c r="H166" t="str">
        <f t="shared" ca="1" si="29"/>
        <v>Alto</v>
      </c>
      <c r="I166" t="str">
        <f t="shared" ca="1" si="30"/>
        <v>Atraso 60d</v>
      </c>
      <c r="J166" t="str">
        <f t="shared" ca="1" si="31"/>
        <v>Norte</v>
      </c>
      <c r="K166" t="str">
        <f t="shared" ca="1" si="32"/>
        <v>Ana Silva</v>
      </c>
    </row>
    <row r="167" spans="1:11" x14ac:dyDescent="0.25">
      <c r="A167" t="str">
        <f t="shared" si="22"/>
        <v>CLI-1165</v>
      </c>
      <c r="B167" s="1">
        <f t="shared" ca="1" si="23"/>
        <v>46156</v>
      </c>
      <c r="C167" t="str">
        <f t="shared" ca="1" si="24"/>
        <v>Financiamento Veiculo</v>
      </c>
      <c r="D167" s="2">
        <f t="shared" ca="1" si="25"/>
        <v>150000</v>
      </c>
      <c r="E167" s="3">
        <f t="shared" ca="1" si="26"/>
        <v>4.04</v>
      </c>
      <c r="F167" s="4">
        <f t="shared" ca="1" si="27"/>
        <v>120</v>
      </c>
      <c r="G167">
        <f t="shared" ca="1" si="28"/>
        <v>543</v>
      </c>
      <c r="H167" t="str">
        <f t="shared" ca="1" si="29"/>
        <v>Alto</v>
      </c>
      <c r="I167" t="str">
        <f t="shared" ca="1" si="30"/>
        <v>Atraso 60d</v>
      </c>
      <c r="J167" t="str">
        <f t="shared" ca="1" si="31"/>
        <v>Norte</v>
      </c>
      <c r="K167" t="str">
        <f t="shared" ca="1" si="32"/>
        <v>Ana Silva</v>
      </c>
    </row>
    <row r="168" spans="1:11" x14ac:dyDescent="0.25">
      <c r="A168" t="str">
        <f t="shared" si="22"/>
        <v>CLI-1166</v>
      </c>
      <c r="B168" s="1">
        <f t="shared" ca="1" si="23"/>
        <v>46226</v>
      </c>
      <c r="C168" t="str">
        <f t="shared" ca="1" si="24"/>
        <v>Financiamento Veiculo</v>
      </c>
      <c r="D168" s="2">
        <f t="shared" ca="1" si="25"/>
        <v>45000</v>
      </c>
      <c r="E168" s="3">
        <f t="shared" ca="1" si="26"/>
        <v>0.92</v>
      </c>
      <c r="F168" s="4">
        <f t="shared" ca="1" si="27"/>
        <v>120</v>
      </c>
      <c r="G168">
        <f t="shared" ca="1" si="28"/>
        <v>412</v>
      </c>
      <c r="H168" t="str">
        <f t="shared" ca="1" si="29"/>
        <v>Alto</v>
      </c>
      <c r="I168" t="str">
        <f t="shared" ca="1" si="30"/>
        <v>Atraso 60d</v>
      </c>
      <c r="J168" t="str">
        <f t="shared" ca="1" si="31"/>
        <v>Sul</v>
      </c>
      <c r="K168" t="str">
        <f t="shared" ca="1" si="32"/>
        <v>Carlos Mendes</v>
      </c>
    </row>
    <row r="169" spans="1:11" x14ac:dyDescent="0.25">
      <c r="A169" t="str">
        <f t="shared" si="22"/>
        <v>CLI-1167</v>
      </c>
      <c r="B169" s="1">
        <f t="shared" ca="1" si="23"/>
        <v>45892</v>
      </c>
      <c r="C169" t="str">
        <f t="shared" ca="1" si="24"/>
        <v>Credito Imobiliario</v>
      </c>
      <c r="D169" s="2">
        <f t="shared" ca="1" si="25"/>
        <v>45000</v>
      </c>
      <c r="E169" s="3">
        <f t="shared" ca="1" si="26"/>
        <v>4.22</v>
      </c>
      <c r="F169" s="4">
        <f t="shared" ca="1" si="27"/>
        <v>12</v>
      </c>
      <c r="G169">
        <f t="shared" ca="1" si="28"/>
        <v>752</v>
      </c>
      <c r="H169" t="str">
        <f t="shared" ca="1" si="29"/>
        <v>Baixo</v>
      </c>
      <c r="I169" t="str">
        <f t="shared" ca="1" si="30"/>
        <v>Em Dia</v>
      </c>
      <c r="J169" t="str">
        <f t="shared" ca="1" si="31"/>
        <v>Sul</v>
      </c>
      <c r="K169" t="str">
        <f t="shared" ca="1" si="32"/>
        <v>Joao Souza</v>
      </c>
    </row>
    <row r="170" spans="1:11" x14ac:dyDescent="0.25">
      <c r="A170" t="str">
        <f t="shared" si="22"/>
        <v>CLI-1168</v>
      </c>
      <c r="B170" s="1">
        <f t="shared" ca="1" si="23"/>
        <v>46144</v>
      </c>
      <c r="C170" t="str">
        <f t="shared" ca="1" si="24"/>
        <v>Cartao de Credito</v>
      </c>
      <c r="D170" s="2">
        <f t="shared" ca="1" si="25"/>
        <v>150000</v>
      </c>
      <c r="E170" s="3">
        <f t="shared" ca="1" si="26"/>
        <v>0.96</v>
      </c>
      <c r="F170" s="4">
        <f t="shared" ca="1" si="27"/>
        <v>48</v>
      </c>
      <c r="G170">
        <f t="shared" ca="1" si="28"/>
        <v>570</v>
      </c>
      <c r="H170" t="str">
        <f t="shared" ca="1" si="29"/>
        <v>Alto</v>
      </c>
      <c r="I170" t="str">
        <f t="shared" ca="1" si="30"/>
        <v>Em Dia</v>
      </c>
      <c r="J170" t="str">
        <f t="shared" ca="1" si="31"/>
        <v>Norte</v>
      </c>
      <c r="K170" t="str">
        <f t="shared" ca="1" si="32"/>
        <v>Joao Souza</v>
      </c>
    </row>
    <row r="171" spans="1:11" x14ac:dyDescent="0.25">
      <c r="A171" t="str">
        <f t="shared" si="22"/>
        <v>CLI-1169</v>
      </c>
      <c r="B171" s="1">
        <f t="shared" ca="1" si="23"/>
        <v>46154</v>
      </c>
      <c r="C171" t="str">
        <f t="shared" ca="1" si="24"/>
        <v>Cartao de Credito</v>
      </c>
      <c r="D171" s="2">
        <f t="shared" ca="1" si="25"/>
        <v>45000</v>
      </c>
      <c r="E171" s="3">
        <f t="shared" ca="1" si="26"/>
        <v>1.1000000000000001</v>
      </c>
      <c r="F171" s="4">
        <f t="shared" ca="1" si="27"/>
        <v>12</v>
      </c>
      <c r="G171">
        <f t="shared" ca="1" si="28"/>
        <v>626</v>
      </c>
      <c r="H171" t="str">
        <f t="shared" ca="1" si="29"/>
        <v>Medio</v>
      </c>
      <c r="I171" t="str">
        <f t="shared" ca="1" si="30"/>
        <v>Em Dia</v>
      </c>
      <c r="J171" t="str">
        <f t="shared" ca="1" si="31"/>
        <v>Sul</v>
      </c>
      <c r="K171" t="str">
        <f t="shared" ca="1" si="32"/>
        <v>Maria Lima</v>
      </c>
    </row>
    <row r="172" spans="1:11" x14ac:dyDescent="0.25">
      <c r="A172" t="str">
        <f t="shared" si="22"/>
        <v>CLI-1170</v>
      </c>
      <c r="B172" s="1">
        <f t="shared" ca="1" si="23"/>
        <v>46145</v>
      </c>
      <c r="C172" t="str">
        <f t="shared" ca="1" si="24"/>
        <v>Credito Pessoal</v>
      </c>
      <c r="D172" s="2">
        <f t="shared" ca="1" si="25"/>
        <v>5000</v>
      </c>
      <c r="E172" s="3">
        <f t="shared" ca="1" si="26"/>
        <v>1.68</v>
      </c>
      <c r="F172" s="4">
        <f t="shared" ca="1" si="27"/>
        <v>360</v>
      </c>
      <c r="G172">
        <f t="shared" ca="1" si="28"/>
        <v>703</v>
      </c>
      <c r="H172" t="str">
        <f t="shared" ca="1" si="29"/>
        <v>Medio</v>
      </c>
      <c r="I172" t="str">
        <f t="shared" ca="1" si="30"/>
        <v>Em Dia</v>
      </c>
      <c r="J172" t="str">
        <f t="shared" ca="1" si="31"/>
        <v>Nordeste</v>
      </c>
      <c r="K172" t="str">
        <f t="shared" ca="1" si="32"/>
        <v>Joao Souza</v>
      </c>
    </row>
    <row r="173" spans="1:11" x14ac:dyDescent="0.25">
      <c r="A173" t="str">
        <f t="shared" si="22"/>
        <v>CLI-1171</v>
      </c>
      <c r="B173" s="1">
        <f t="shared" ca="1" si="23"/>
        <v>46122</v>
      </c>
      <c r="C173" t="str">
        <f t="shared" ca="1" si="24"/>
        <v>Credito Pessoal</v>
      </c>
      <c r="D173" s="2">
        <f t="shared" ca="1" si="25"/>
        <v>150000</v>
      </c>
      <c r="E173" s="3">
        <f t="shared" ca="1" si="26"/>
        <v>3.54</v>
      </c>
      <c r="F173" s="4">
        <f t="shared" ca="1" si="27"/>
        <v>24</v>
      </c>
      <c r="G173">
        <f t="shared" ca="1" si="28"/>
        <v>399</v>
      </c>
      <c r="H173" t="str">
        <f t="shared" ca="1" si="29"/>
        <v>Alto</v>
      </c>
      <c r="I173" t="str">
        <f t="shared" ca="1" si="30"/>
        <v>Atraso 60d</v>
      </c>
      <c r="J173" t="str">
        <f t="shared" ca="1" si="31"/>
        <v>Centro-Oeste</v>
      </c>
      <c r="K173" t="str">
        <f t="shared" ca="1" si="32"/>
        <v>Pedro Costa</v>
      </c>
    </row>
    <row r="174" spans="1:11" x14ac:dyDescent="0.25">
      <c r="A174" t="str">
        <f t="shared" si="22"/>
        <v>CLI-1172</v>
      </c>
      <c r="B174" s="1">
        <f t="shared" ca="1" si="23"/>
        <v>46201</v>
      </c>
      <c r="C174" t="str">
        <f t="shared" ca="1" si="24"/>
        <v>Cartao de Credito</v>
      </c>
      <c r="D174" s="2">
        <f t="shared" ca="1" si="25"/>
        <v>150000</v>
      </c>
      <c r="E174" s="3">
        <f t="shared" ca="1" si="26"/>
        <v>1.1399999999999999</v>
      </c>
      <c r="F174" s="4">
        <f t="shared" ca="1" si="27"/>
        <v>360</v>
      </c>
      <c r="G174">
        <f t="shared" ca="1" si="28"/>
        <v>869</v>
      </c>
      <c r="H174" t="str">
        <f t="shared" ca="1" si="29"/>
        <v>Baixo</v>
      </c>
      <c r="I174" t="str">
        <f t="shared" ca="1" si="30"/>
        <v>Em Dia</v>
      </c>
      <c r="J174" t="str">
        <f t="shared" ca="1" si="31"/>
        <v>Norte</v>
      </c>
      <c r="K174" t="str">
        <f t="shared" ca="1" si="32"/>
        <v>Joao Souza</v>
      </c>
    </row>
    <row r="175" spans="1:11" x14ac:dyDescent="0.25">
      <c r="A175" t="str">
        <f t="shared" si="22"/>
        <v>CLI-1173</v>
      </c>
      <c r="B175" s="1">
        <f t="shared" ca="1" si="23"/>
        <v>46141</v>
      </c>
      <c r="C175" t="str">
        <f t="shared" ca="1" si="24"/>
        <v>Credito Imobiliario</v>
      </c>
      <c r="D175" s="2">
        <f t="shared" ca="1" si="25"/>
        <v>300000</v>
      </c>
      <c r="E175" s="3">
        <f t="shared" ca="1" si="26"/>
        <v>2.74</v>
      </c>
      <c r="F175" s="4">
        <f t="shared" ca="1" si="27"/>
        <v>12</v>
      </c>
      <c r="G175">
        <f t="shared" ca="1" si="28"/>
        <v>553</v>
      </c>
      <c r="H175" t="str">
        <f t="shared" ca="1" si="29"/>
        <v>Alto</v>
      </c>
      <c r="I175" t="str">
        <f t="shared" ca="1" si="30"/>
        <v>Em Dia</v>
      </c>
      <c r="J175" t="str">
        <f t="shared" ca="1" si="31"/>
        <v>Sul</v>
      </c>
      <c r="K175" t="str">
        <f t="shared" ca="1" si="32"/>
        <v>Pedro Costa</v>
      </c>
    </row>
    <row r="176" spans="1:11" x14ac:dyDescent="0.25">
      <c r="A176" t="str">
        <f t="shared" si="22"/>
        <v>CLI-1174</v>
      </c>
      <c r="B176" s="1">
        <f t="shared" ca="1" si="23"/>
        <v>45945</v>
      </c>
      <c r="C176" t="str">
        <f t="shared" ca="1" si="24"/>
        <v>Cartao de Credito</v>
      </c>
      <c r="D176" s="2">
        <f t="shared" ca="1" si="25"/>
        <v>5000</v>
      </c>
      <c r="E176" s="3">
        <f t="shared" ca="1" si="26"/>
        <v>4.04</v>
      </c>
      <c r="F176" s="4">
        <f t="shared" ca="1" si="27"/>
        <v>120</v>
      </c>
      <c r="G176">
        <f t="shared" ca="1" si="28"/>
        <v>787</v>
      </c>
      <c r="H176" t="str">
        <f t="shared" ca="1" si="29"/>
        <v>Baixo</v>
      </c>
      <c r="I176" t="str">
        <f t="shared" ca="1" si="30"/>
        <v>Atraso 60d</v>
      </c>
      <c r="J176" t="str">
        <f t="shared" ca="1" si="31"/>
        <v>Sul</v>
      </c>
      <c r="K176" t="str">
        <f t="shared" ca="1" si="32"/>
        <v>Carlos Mendes</v>
      </c>
    </row>
    <row r="177" spans="1:11" x14ac:dyDescent="0.25">
      <c r="A177" t="str">
        <f t="shared" si="22"/>
        <v>CLI-1175</v>
      </c>
      <c r="B177" s="1">
        <f t="shared" ca="1" si="23"/>
        <v>45983</v>
      </c>
      <c r="C177" t="str">
        <f t="shared" ca="1" si="24"/>
        <v>Credito Imobiliario</v>
      </c>
      <c r="D177" s="2">
        <f t="shared" ca="1" si="25"/>
        <v>12000</v>
      </c>
      <c r="E177" s="3">
        <f t="shared" ca="1" si="26"/>
        <v>1.78</v>
      </c>
      <c r="F177" s="4">
        <f t="shared" ca="1" si="27"/>
        <v>120</v>
      </c>
      <c r="G177">
        <f t="shared" ca="1" si="28"/>
        <v>914</v>
      </c>
      <c r="H177" t="str">
        <f t="shared" ca="1" si="29"/>
        <v>Baixo</v>
      </c>
      <c r="I177" t="str">
        <f t="shared" ca="1" si="30"/>
        <v>Atraso 60d</v>
      </c>
      <c r="J177" t="str">
        <f t="shared" ca="1" si="31"/>
        <v>Centro-Oeste</v>
      </c>
      <c r="K177" t="str">
        <f t="shared" ca="1" si="32"/>
        <v>Ana Silva</v>
      </c>
    </row>
    <row r="178" spans="1:11" x14ac:dyDescent="0.25">
      <c r="A178" t="str">
        <f t="shared" si="22"/>
        <v>CLI-1176</v>
      </c>
      <c r="B178" s="1">
        <f t="shared" ca="1" si="23"/>
        <v>45965</v>
      </c>
      <c r="C178" t="str">
        <f t="shared" ca="1" si="24"/>
        <v>Credito Consignado</v>
      </c>
      <c r="D178" s="2">
        <f t="shared" ca="1" si="25"/>
        <v>12000</v>
      </c>
      <c r="E178" s="3">
        <f t="shared" ca="1" si="26"/>
        <v>2.44</v>
      </c>
      <c r="F178" s="4">
        <f t="shared" ca="1" si="27"/>
        <v>12</v>
      </c>
      <c r="G178">
        <f t="shared" ca="1" si="28"/>
        <v>501</v>
      </c>
      <c r="H178" t="str">
        <f t="shared" ca="1" si="29"/>
        <v>Alto</v>
      </c>
      <c r="I178" t="str">
        <f t="shared" ca="1" si="30"/>
        <v>Atraso 60d</v>
      </c>
      <c r="J178" t="str">
        <f t="shared" ca="1" si="31"/>
        <v>Sudeste</v>
      </c>
      <c r="K178" t="str">
        <f t="shared" ca="1" si="32"/>
        <v>Maria Lima</v>
      </c>
    </row>
    <row r="179" spans="1:11" x14ac:dyDescent="0.25">
      <c r="A179" t="str">
        <f t="shared" si="22"/>
        <v>CLI-1177</v>
      </c>
      <c r="B179" s="1">
        <f t="shared" ca="1" si="23"/>
        <v>46148</v>
      </c>
      <c r="C179" t="str">
        <f t="shared" ca="1" si="24"/>
        <v>Credito Consignado</v>
      </c>
      <c r="D179" s="2">
        <f t="shared" ca="1" si="25"/>
        <v>80000</v>
      </c>
      <c r="E179" s="3">
        <f t="shared" ca="1" si="26"/>
        <v>3.61</v>
      </c>
      <c r="F179" s="4">
        <f t="shared" ca="1" si="27"/>
        <v>12</v>
      </c>
      <c r="G179">
        <f t="shared" ca="1" si="28"/>
        <v>504</v>
      </c>
      <c r="H179" t="str">
        <f t="shared" ca="1" si="29"/>
        <v>Alto</v>
      </c>
      <c r="I179" t="str">
        <f t="shared" ca="1" si="30"/>
        <v>Atraso 60d</v>
      </c>
      <c r="J179" t="str">
        <f t="shared" ca="1" si="31"/>
        <v>Sul</v>
      </c>
      <c r="K179" t="str">
        <f t="shared" ca="1" si="32"/>
        <v>Ana Silva</v>
      </c>
    </row>
    <row r="180" spans="1:11" x14ac:dyDescent="0.25">
      <c r="A180" t="str">
        <f t="shared" si="22"/>
        <v>CLI-1178</v>
      </c>
      <c r="B180" s="1">
        <f t="shared" ca="1" si="23"/>
        <v>45855</v>
      </c>
      <c r="C180" t="str">
        <f t="shared" ca="1" si="24"/>
        <v>Financiamento Veiculo</v>
      </c>
      <c r="D180" s="2">
        <f t="shared" ca="1" si="25"/>
        <v>300000</v>
      </c>
      <c r="E180" s="3">
        <f t="shared" ca="1" si="26"/>
        <v>3.62</v>
      </c>
      <c r="F180" s="4">
        <f t="shared" ca="1" si="27"/>
        <v>12</v>
      </c>
      <c r="G180">
        <f t="shared" ca="1" si="28"/>
        <v>879</v>
      </c>
      <c r="H180" t="str">
        <f t="shared" ca="1" si="29"/>
        <v>Baixo</v>
      </c>
      <c r="I180" t="str">
        <f t="shared" ca="1" si="30"/>
        <v>Atraso 60d</v>
      </c>
      <c r="J180" t="str">
        <f t="shared" ca="1" si="31"/>
        <v>Sul</v>
      </c>
      <c r="K180" t="str">
        <f t="shared" ca="1" si="32"/>
        <v>Joao Souza</v>
      </c>
    </row>
    <row r="181" spans="1:11" x14ac:dyDescent="0.25">
      <c r="A181" t="str">
        <f t="shared" si="22"/>
        <v>CLI-1179</v>
      </c>
      <c r="B181" s="1">
        <f t="shared" ca="1" si="23"/>
        <v>45867</v>
      </c>
      <c r="C181" t="str">
        <f t="shared" ca="1" si="24"/>
        <v>Credito Pessoal</v>
      </c>
      <c r="D181" s="2">
        <f t="shared" ca="1" si="25"/>
        <v>80000</v>
      </c>
      <c r="E181" s="3">
        <f t="shared" ca="1" si="26"/>
        <v>0.8</v>
      </c>
      <c r="F181" s="4">
        <f t="shared" ca="1" si="27"/>
        <v>24</v>
      </c>
      <c r="G181">
        <f t="shared" ca="1" si="28"/>
        <v>785</v>
      </c>
      <c r="H181" t="str">
        <f t="shared" ca="1" si="29"/>
        <v>Baixo</v>
      </c>
      <c r="I181" t="str">
        <f t="shared" ca="1" si="30"/>
        <v>Atraso 30d</v>
      </c>
      <c r="J181" t="str">
        <f t="shared" ca="1" si="31"/>
        <v>Centro-Oeste</v>
      </c>
      <c r="K181" t="str">
        <f t="shared" ca="1" si="32"/>
        <v>Carlos Mendes</v>
      </c>
    </row>
    <row r="182" spans="1:11" x14ac:dyDescent="0.25">
      <c r="A182" t="str">
        <f t="shared" si="22"/>
        <v>CLI-1180</v>
      </c>
      <c r="B182" s="1">
        <f t="shared" ca="1" si="23"/>
        <v>45975</v>
      </c>
      <c r="C182" t="str">
        <f t="shared" ca="1" si="24"/>
        <v>Financiamento Veiculo</v>
      </c>
      <c r="D182" s="2">
        <f t="shared" ca="1" si="25"/>
        <v>5000</v>
      </c>
      <c r="E182" s="3">
        <f t="shared" ca="1" si="26"/>
        <v>3.15</v>
      </c>
      <c r="F182" s="4">
        <f t="shared" ca="1" si="27"/>
        <v>36</v>
      </c>
      <c r="G182">
        <f t="shared" ca="1" si="28"/>
        <v>589</v>
      </c>
      <c r="H182" t="str">
        <f t="shared" ca="1" si="29"/>
        <v>Alto</v>
      </c>
      <c r="I182" t="str">
        <f t="shared" ca="1" si="30"/>
        <v>Em Dia</v>
      </c>
      <c r="J182" t="str">
        <f t="shared" ca="1" si="31"/>
        <v>Sudeste</v>
      </c>
      <c r="K182" t="str">
        <f t="shared" ca="1" si="32"/>
        <v>Ana Silva</v>
      </c>
    </row>
    <row r="183" spans="1:11" x14ac:dyDescent="0.25">
      <c r="A183" t="str">
        <f t="shared" si="22"/>
        <v>CLI-1181</v>
      </c>
      <c r="B183" s="1">
        <f t="shared" ca="1" si="23"/>
        <v>46159</v>
      </c>
      <c r="C183" t="str">
        <f t="shared" ca="1" si="24"/>
        <v>Credito Imobiliario</v>
      </c>
      <c r="D183" s="2">
        <f t="shared" ca="1" si="25"/>
        <v>300000</v>
      </c>
      <c r="E183" s="3">
        <f t="shared" ca="1" si="26"/>
        <v>3.18</v>
      </c>
      <c r="F183" s="4">
        <f t="shared" ca="1" si="27"/>
        <v>12</v>
      </c>
      <c r="G183">
        <f t="shared" ca="1" si="28"/>
        <v>746</v>
      </c>
      <c r="H183" t="str">
        <f t="shared" ca="1" si="29"/>
        <v>Medio</v>
      </c>
      <c r="I183" t="str">
        <f t="shared" ca="1" si="30"/>
        <v>Inadimplente</v>
      </c>
      <c r="J183" t="str">
        <f t="shared" ca="1" si="31"/>
        <v>Nordeste</v>
      </c>
      <c r="K183" t="str">
        <f t="shared" ca="1" si="32"/>
        <v>Ana Silva</v>
      </c>
    </row>
    <row r="184" spans="1:11" x14ac:dyDescent="0.25">
      <c r="A184" t="str">
        <f t="shared" si="22"/>
        <v>CLI-1182</v>
      </c>
      <c r="B184" s="1">
        <f t="shared" ca="1" si="23"/>
        <v>46152</v>
      </c>
      <c r="C184" t="str">
        <f t="shared" ca="1" si="24"/>
        <v>Financiamento Veiculo</v>
      </c>
      <c r="D184" s="2">
        <f t="shared" ca="1" si="25"/>
        <v>80000</v>
      </c>
      <c r="E184" s="3">
        <f t="shared" ca="1" si="26"/>
        <v>1.34</v>
      </c>
      <c r="F184" s="4">
        <f t="shared" ca="1" si="27"/>
        <v>48</v>
      </c>
      <c r="G184">
        <f t="shared" ca="1" si="28"/>
        <v>334</v>
      </c>
      <c r="H184" t="str">
        <f t="shared" ca="1" si="29"/>
        <v>Alto</v>
      </c>
      <c r="I184" t="str">
        <f t="shared" ca="1" si="30"/>
        <v>Em Dia</v>
      </c>
      <c r="J184" t="str">
        <f t="shared" ca="1" si="31"/>
        <v>Norte</v>
      </c>
      <c r="K184" t="str">
        <f t="shared" ca="1" si="32"/>
        <v>Ana Silva</v>
      </c>
    </row>
    <row r="185" spans="1:11" x14ac:dyDescent="0.25">
      <c r="A185" t="str">
        <f t="shared" si="22"/>
        <v>CLI-1183</v>
      </c>
      <c r="B185" s="1">
        <f t="shared" ca="1" si="23"/>
        <v>46044</v>
      </c>
      <c r="C185" t="str">
        <f t="shared" ca="1" si="24"/>
        <v>Financiamento Veiculo</v>
      </c>
      <c r="D185" s="2">
        <f t="shared" ca="1" si="25"/>
        <v>45000</v>
      </c>
      <c r="E185" s="3">
        <f t="shared" ca="1" si="26"/>
        <v>4.2699999999999996</v>
      </c>
      <c r="F185" s="4">
        <f t="shared" ca="1" si="27"/>
        <v>120</v>
      </c>
      <c r="G185">
        <f t="shared" ca="1" si="28"/>
        <v>602</v>
      </c>
      <c r="H185" t="str">
        <f t="shared" ca="1" si="29"/>
        <v>Medio</v>
      </c>
      <c r="I185" t="str">
        <f t="shared" ca="1" si="30"/>
        <v>Atraso 30d</v>
      </c>
      <c r="J185" t="str">
        <f t="shared" ca="1" si="31"/>
        <v>Sudeste</v>
      </c>
      <c r="K185" t="str">
        <f t="shared" ca="1" si="32"/>
        <v>Maria Lima</v>
      </c>
    </row>
    <row r="186" spans="1:11" x14ac:dyDescent="0.25">
      <c r="A186" t="str">
        <f t="shared" si="22"/>
        <v>CLI-1184</v>
      </c>
      <c r="B186" s="1">
        <f t="shared" ca="1" si="23"/>
        <v>45859</v>
      </c>
      <c r="C186" t="str">
        <f t="shared" ca="1" si="24"/>
        <v>Cartao de Credito</v>
      </c>
      <c r="D186" s="2">
        <f t="shared" ca="1" si="25"/>
        <v>25000</v>
      </c>
      <c r="E186" s="3">
        <f t="shared" ca="1" si="26"/>
        <v>2.46</v>
      </c>
      <c r="F186" s="4">
        <f t="shared" ca="1" si="27"/>
        <v>24</v>
      </c>
      <c r="G186">
        <f t="shared" ca="1" si="28"/>
        <v>934</v>
      </c>
      <c r="H186" t="str">
        <f t="shared" ca="1" si="29"/>
        <v>Baixo</v>
      </c>
      <c r="I186" t="str">
        <f t="shared" ca="1" si="30"/>
        <v>Em Dia</v>
      </c>
      <c r="J186" t="str">
        <f t="shared" ca="1" si="31"/>
        <v>Sudeste</v>
      </c>
      <c r="K186" t="str">
        <f t="shared" ca="1" si="32"/>
        <v>Joao Souza</v>
      </c>
    </row>
    <row r="187" spans="1:11" x14ac:dyDescent="0.25">
      <c r="A187" t="str">
        <f t="shared" si="22"/>
        <v>CLI-1185</v>
      </c>
      <c r="B187" s="1">
        <f t="shared" ca="1" si="23"/>
        <v>45967</v>
      </c>
      <c r="C187" t="str">
        <f t="shared" ca="1" si="24"/>
        <v>Credito Consignado</v>
      </c>
      <c r="D187" s="2">
        <f t="shared" ca="1" si="25"/>
        <v>12000</v>
      </c>
      <c r="E187" s="3">
        <f t="shared" ca="1" si="26"/>
        <v>3.01</v>
      </c>
      <c r="F187" s="4">
        <f t="shared" ca="1" si="27"/>
        <v>12</v>
      </c>
      <c r="G187">
        <f t="shared" ca="1" si="28"/>
        <v>570</v>
      </c>
      <c r="H187" t="str">
        <f t="shared" ca="1" si="29"/>
        <v>Alto</v>
      </c>
      <c r="I187" t="str">
        <f t="shared" ca="1" si="30"/>
        <v>Atraso 60d</v>
      </c>
      <c r="J187" t="str">
        <f t="shared" ca="1" si="31"/>
        <v>Nordeste</v>
      </c>
      <c r="K187" t="str">
        <f t="shared" ca="1" si="32"/>
        <v>Carlos Mendes</v>
      </c>
    </row>
    <row r="188" spans="1:11" x14ac:dyDescent="0.25">
      <c r="A188" t="str">
        <f t="shared" si="22"/>
        <v>CLI-1186</v>
      </c>
      <c r="B188" s="1">
        <f t="shared" ca="1" si="23"/>
        <v>45855</v>
      </c>
      <c r="C188" t="str">
        <f t="shared" ca="1" si="24"/>
        <v>Financiamento Veiculo</v>
      </c>
      <c r="D188" s="2">
        <f t="shared" ca="1" si="25"/>
        <v>80000</v>
      </c>
      <c r="E188" s="3">
        <f t="shared" ca="1" si="26"/>
        <v>4.16</v>
      </c>
      <c r="F188" s="4">
        <f t="shared" ca="1" si="27"/>
        <v>48</v>
      </c>
      <c r="G188">
        <f t="shared" ca="1" si="28"/>
        <v>890</v>
      </c>
      <c r="H188" t="str">
        <f t="shared" ca="1" si="29"/>
        <v>Baixo</v>
      </c>
      <c r="I188" t="str">
        <f t="shared" ca="1" si="30"/>
        <v>Em Dia</v>
      </c>
      <c r="J188" t="str">
        <f t="shared" ca="1" si="31"/>
        <v>Sul</v>
      </c>
      <c r="K188" t="str">
        <f t="shared" ca="1" si="32"/>
        <v>Maria Lima</v>
      </c>
    </row>
    <row r="189" spans="1:11" x14ac:dyDescent="0.25">
      <c r="A189" t="str">
        <f t="shared" si="22"/>
        <v>CLI-1187</v>
      </c>
      <c r="B189" s="1">
        <f t="shared" ca="1" si="23"/>
        <v>45804</v>
      </c>
      <c r="C189" t="str">
        <f t="shared" ca="1" si="24"/>
        <v>Credito Pessoal</v>
      </c>
      <c r="D189" s="2">
        <f t="shared" ca="1" si="25"/>
        <v>5000</v>
      </c>
      <c r="E189" s="3">
        <f t="shared" ca="1" si="26"/>
        <v>4</v>
      </c>
      <c r="F189" s="4">
        <f t="shared" ca="1" si="27"/>
        <v>360</v>
      </c>
      <c r="G189">
        <f t="shared" ca="1" si="28"/>
        <v>322</v>
      </c>
      <c r="H189" t="str">
        <f t="shared" ca="1" si="29"/>
        <v>Alto</v>
      </c>
      <c r="I189" t="str">
        <f t="shared" ca="1" si="30"/>
        <v>Inadimplente</v>
      </c>
      <c r="J189" t="str">
        <f t="shared" ca="1" si="31"/>
        <v>Centro-Oeste</v>
      </c>
      <c r="K189" t="str">
        <f t="shared" ca="1" si="32"/>
        <v>Carlos Mendes</v>
      </c>
    </row>
    <row r="190" spans="1:11" x14ac:dyDescent="0.25">
      <c r="A190" t="str">
        <f t="shared" si="22"/>
        <v>CLI-1188</v>
      </c>
      <c r="B190" s="1">
        <f t="shared" ca="1" si="23"/>
        <v>46027</v>
      </c>
      <c r="C190" t="str">
        <f t="shared" ca="1" si="24"/>
        <v>Financiamento Veiculo</v>
      </c>
      <c r="D190" s="2">
        <f t="shared" ca="1" si="25"/>
        <v>12000</v>
      </c>
      <c r="E190" s="3">
        <f t="shared" ca="1" si="26"/>
        <v>0.64</v>
      </c>
      <c r="F190" s="4">
        <f t="shared" ca="1" si="27"/>
        <v>120</v>
      </c>
      <c r="G190">
        <f t="shared" ca="1" si="28"/>
        <v>774</v>
      </c>
      <c r="H190" t="str">
        <f t="shared" ca="1" si="29"/>
        <v>Baixo</v>
      </c>
      <c r="I190" t="str">
        <f t="shared" ca="1" si="30"/>
        <v>Em Dia</v>
      </c>
      <c r="J190" t="str">
        <f t="shared" ca="1" si="31"/>
        <v>Norte</v>
      </c>
      <c r="K190" t="str">
        <f t="shared" ca="1" si="32"/>
        <v>Ana Silva</v>
      </c>
    </row>
    <row r="191" spans="1:11" x14ac:dyDescent="0.25">
      <c r="A191" t="str">
        <f t="shared" si="22"/>
        <v>CLI-1189</v>
      </c>
      <c r="B191" s="1">
        <f t="shared" ca="1" si="23"/>
        <v>45843</v>
      </c>
      <c r="C191" t="str">
        <f t="shared" ca="1" si="24"/>
        <v>Credito Consignado</v>
      </c>
      <c r="D191" s="2">
        <f t="shared" ca="1" si="25"/>
        <v>300000</v>
      </c>
      <c r="E191" s="3">
        <f t="shared" ca="1" si="26"/>
        <v>0.68</v>
      </c>
      <c r="F191" s="4">
        <f t="shared" ca="1" si="27"/>
        <v>24</v>
      </c>
      <c r="G191">
        <f t="shared" ca="1" si="28"/>
        <v>819</v>
      </c>
      <c r="H191" t="str">
        <f t="shared" ca="1" si="29"/>
        <v>Baixo</v>
      </c>
      <c r="I191" t="str">
        <f t="shared" ca="1" si="30"/>
        <v>Em Dia</v>
      </c>
      <c r="J191" t="str">
        <f t="shared" ca="1" si="31"/>
        <v>Sul</v>
      </c>
      <c r="K191" t="str">
        <f t="shared" ca="1" si="32"/>
        <v>Carlos Mendes</v>
      </c>
    </row>
    <row r="192" spans="1:11" x14ac:dyDescent="0.25">
      <c r="A192" t="str">
        <f t="shared" si="22"/>
        <v>CLI-1190</v>
      </c>
      <c r="B192" s="1">
        <f t="shared" ca="1" si="23"/>
        <v>46213</v>
      </c>
      <c r="C192" t="str">
        <f t="shared" ca="1" si="24"/>
        <v>Financiamento Veiculo</v>
      </c>
      <c r="D192" s="2">
        <f t="shared" ca="1" si="25"/>
        <v>5000</v>
      </c>
      <c r="E192" s="3">
        <f t="shared" ca="1" si="26"/>
        <v>4.4800000000000004</v>
      </c>
      <c r="F192" s="4">
        <f t="shared" ca="1" si="27"/>
        <v>48</v>
      </c>
      <c r="G192">
        <f t="shared" ca="1" si="28"/>
        <v>434</v>
      </c>
      <c r="H192" t="str">
        <f t="shared" ca="1" si="29"/>
        <v>Alto</v>
      </c>
      <c r="I192" t="str">
        <f t="shared" ca="1" si="30"/>
        <v>Em Dia</v>
      </c>
      <c r="J192" t="str">
        <f t="shared" ca="1" si="31"/>
        <v>Nordeste</v>
      </c>
      <c r="K192" t="str">
        <f t="shared" ca="1" si="32"/>
        <v>Joao Souza</v>
      </c>
    </row>
    <row r="193" spans="1:11" x14ac:dyDescent="0.25">
      <c r="A193" t="str">
        <f t="shared" si="22"/>
        <v>CLI-1191</v>
      </c>
      <c r="B193" s="1">
        <f t="shared" ca="1" si="23"/>
        <v>45788</v>
      </c>
      <c r="C193" t="str">
        <f t="shared" ca="1" si="24"/>
        <v>Cartao de Credito</v>
      </c>
      <c r="D193" s="2">
        <f t="shared" ca="1" si="25"/>
        <v>300000</v>
      </c>
      <c r="E193" s="3">
        <f t="shared" ca="1" si="26"/>
        <v>1.18</v>
      </c>
      <c r="F193" s="4">
        <f t="shared" ca="1" si="27"/>
        <v>360</v>
      </c>
      <c r="G193">
        <f t="shared" ca="1" si="28"/>
        <v>492</v>
      </c>
      <c r="H193" t="str">
        <f t="shared" ca="1" si="29"/>
        <v>Alto</v>
      </c>
      <c r="I193" t="str">
        <f t="shared" ca="1" si="30"/>
        <v>Inadimplente</v>
      </c>
      <c r="J193" t="str">
        <f t="shared" ca="1" si="31"/>
        <v>Sudeste</v>
      </c>
      <c r="K193" t="str">
        <f t="shared" ca="1" si="32"/>
        <v>Ana Silva</v>
      </c>
    </row>
    <row r="194" spans="1:11" x14ac:dyDescent="0.25">
      <c r="A194" t="str">
        <f t="shared" si="22"/>
        <v>CLI-1192</v>
      </c>
      <c r="B194" s="1">
        <f t="shared" ca="1" si="23"/>
        <v>45959</v>
      </c>
      <c r="C194" t="str">
        <f t="shared" ca="1" si="24"/>
        <v>Credito Imobiliario</v>
      </c>
      <c r="D194" s="2">
        <f t="shared" ca="1" si="25"/>
        <v>80000</v>
      </c>
      <c r="E194" s="3">
        <f t="shared" ca="1" si="26"/>
        <v>3.35</v>
      </c>
      <c r="F194" s="4">
        <f t="shared" ca="1" si="27"/>
        <v>60</v>
      </c>
      <c r="G194">
        <f t="shared" ca="1" si="28"/>
        <v>902</v>
      </c>
      <c r="H194" t="str">
        <f t="shared" ca="1" si="29"/>
        <v>Baixo</v>
      </c>
      <c r="I194" t="str">
        <f t="shared" ca="1" si="30"/>
        <v>Atraso 60d</v>
      </c>
      <c r="J194" t="str">
        <f t="shared" ca="1" si="31"/>
        <v>Sudeste</v>
      </c>
      <c r="K194" t="str">
        <f t="shared" ca="1" si="32"/>
        <v>Pedro Costa</v>
      </c>
    </row>
    <row r="195" spans="1:11" x14ac:dyDescent="0.25">
      <c r="A195" t="str">
        <f t="shared" ref="A195:A251" si="33">"CLI-"&amp;ROW()+998</f>
        <v>CLI-1193</v>
      </c>
      <c r="B195" s="1">
        <f t="shared" ref="B195:B251" ca="1" si="34">TODAY()-RANDBETWEEN(1,500)</f>
        <v>45941</v>
      </c>
      <c r="C195" t="str">
        <f t="shared" ref="C195:C251" ca="1" si="35">CHOOSE(RANDBETWEEN(1,5),"Credito Pessoal","Financiamento Veiculo","Credito Consignado","Cartao de Credito","Credito Imobiliario")</f>
        <v>Credito Imobiliario</v>
      </c>
      <c r="D195" s="2">
        <f t="shared" ref="D195:D251" ca="1" si="36">CHOOSE(RANDBETWEEN(1,7),5000,12000,25000,45000,80000,150000,300000)</f>
        <v>25000</v>
      </c>
      <c r="E195" s="3">
        <f t="shared" ref="E195:E251" ca="1" si="37">RANDBETWEEN(60,450)/100</f>
        <v>0.76</v>
      </c>
      <c r="F195" s="4">
        <f t="shared" ref="F195:F251" ca="1" si="38">CHOOSE(RANDBETWEEN(1,7),12,24,36,48,60,120,360)</f>
        <v>36</v>
      </c>
      <c r="G195">
        <f t="shared" ref="G195:G251" ca="1" si="39">RANDBETWEEN(300,950)</f>
        <v>571</v>
      </c>
      <c r="H195" t="str">
        <f t="shared" ref="H195:H251" ca="1" si="40">IF(G195&gt;750,"Baixo",IF(G195&gt;600,"Medio","Alto"))</f>
        <v>Alto</v>
      </c>
      <c r="I195" t="str">
        <f t="shared" ref="I195:I251" ca="1" si="41">CHOOSE(RANDBETWEEN(1,7),"Em Dia","Em Dia","Em Dia","Em Dia","Atraso 30d","Atraso 60d","Inadimplente")</f>
        <v>Inadimplente</v>
      </c>
      <c r="J195" t="str">
        <f t="shared" ref="J195:J251" ca="1" si="42">CHOOSE(RANDBETWEEN(1,5),"Sudeste","Sul","Nordeste","Centro-Oeste","Norte")</f>
        <v>Centro-Oeste</v>
      </c>
      <c r="K195" t="str">
        <f t="shared" ref="K195:K251" ca="1" si="43">CHOOSE(RANDBETWEEN(1,5),"Ana Silva","Carlos Mendes","Joao Souza","Maria Lima","Pedro Costa")</f>
        <v>Carlos Mendes</v>
      </c>
    </row>
    <row r="196" spans="1:11" x14ac:dyDescent="0.25">
      <c r="A196" t="str">
        <f t="shared" si="33"/>
        <v>CLI-1194</v>
      </c>
      <c r="B196" s="1">
        <f t="shared" ca="1" si="34"/>
        <v>45981</v>
      </c>
      <c r="C196" t="str">
        <f t="shared" ca="1" si="35"/>
        <v>Credito Pessoal</v>
      </c>
      <c r="D196" s="2">
        <f t="shared" ca="1" si="36"/>
        <v>5000</v>
      </c>
      <c r="E196" s="3">
        <f t="shared" ca="1" si="37"/>
        <v>2.56</v>
      </c>
      <c r="F196" s="4">
        <f t="shared" ca="1" si="38"/>
        <v>48</v>
      </c>
      <c r="G196">
        <f t="shared" ca="1" si="39"/>
        <v>359</v>
      </c>
      <c r="H196" t="str">
        <f t="shared" ca="1" si="40"/>
        <v>Alto</v>
      </c>
      <c r="I196" t="str">
        <f t="shared" ca="1" si="41"/>
        <v>Em Dia</v>
      </c>
      <c r="J196" t="str">
        <f t="shared" ca="1" si="42"/>
        <v>Sudeste</v>
      </c>
      <c r="K196" t="str">
        <f t="shared" ca="1" si="43"/>
        <v>Ana Silva</v>
      </c>
    </row>
    <row r="197" spans="1:11" x14ac:dyDescent="0.25">
      <c r="A197" t="str">
        <f t="shared" si="33"/>
        <v>CLI-1195</v>
      </c>
      <c r="B197" s="1">
        <f t="shared" ca="1" si="34"/>
        <v>45905</v>
      </c>
      <c r="C197" t="str">
        <f t="shared" ca="1" si="35"/>
        <v>Cartao de Credito</v>
      </c>
      <c r="D197" s="2">
        <f t="shared" ca="1" si="36"/>
        <v>5000</v>
      </c>
      <c r="E197" s="3">
        <f t="shared" ca="1" si="37"/>
        <v>2.25</v>
      </c>
      <c r="F197" s="4">
        <f t="shared" ca="1" si="38"/>
        <v>12</v>
      </c>
      <c r="G197">
        <f t="shared" ca="1" si="39"/>
        <v>356</v>
      </c>
      <c r="H197" t="str">
        <f t="shared" ca="1" si="40"/>
        <v>Alto</v>
      </c>
      <c r="I197" t="str">
        <f t="shared" ca="1" si="41"/>
        <v>Atraso 60d</v>
      </c>
      <c r="J197" t="str">
        <f t="shared" ca="1" si="42"/>
        <v>Norte</v>
      </c>
      <c r="K197" t="str">
        <f t="shared" ca="1" si="43"/>
        <v>Ana Silva</v>
      </c>
    </row>
    <row r="198" spans="1:11" x14ac:dyDescent="0.25">
      <c r="A198" t="str">
        <f t="shared" si="33"/>
        <v>CLI-1196</v>
      </c>
      <c r="B198" s="1">
        <f t="shared" ca="1" si="34"/>
        <v>46161</v>
      </c>
      <c r="C198" t="str">
        <f t="shared" ca="1" si="35"/>
        <v>Cartao de Credito</v>
      </c>
      <c r="D198" s="2">
        <f t="shared" ca="1" si="36"/>
        <v>150000</v>
      </c>
      <c r="E198" s="3">
        <f t="shared" ca="1" si="37"/>
        <v>4.47</v>
      </c>
      <c r="F198" s="4">
        <f t="shared" ca="1" si="38"/>
        <v>12</v>
      </c>
      <c r="G198">
        <f t="shared" ca="1" si="39"/>
        <v>613</v>
      </c>
      <c r="H198" t="str">
        <f t="shared" ca="1" si="40"/>
        <v>Medio</v>
      </c>
      <c r="I198" t="str">
        <f t="shared" ca="1" si="41"/>
        <v>Atraso 60d</v>
      </c>
      <c r="J198" t="str">
        <f t="shared" ca="1" si="42"/>
        <v>Sul</v>
      </c>
      <c r="K198" t="str">
        <f t="shared" ca="1" si="43"/>
        <v>Carlos Mendes</v>
      </c>
    </row>
    <row r="199" spans="1:11" x14ac:dyDescent="0.25">
      <c r="A199" t="str">
        <f t="shared" si="33"/>
        <v>CLI-1197</v>
      </c>
      <c r="B199" s="1">
        <f t="shared" ca="1" si="34"/>
        <v>45823</v>
      </c>
      <c r="C199" t="str">
        <f t="shared" ca="1" si="35"/>
        <v>Credito Consignado</v>
      </c>
      <c r="D199" s="2">
        <f t="shared" ca="1" si="36"/>
        <v>45000</v>
      </c>
      <c r="E199" s="3">
        <f t="shared" ca="1" si="37"/>
        <v>1.01</v>
      </c>
      <c r="F199" s="4">
        <f t="shared" ca="1" si="38"/>
        <v>360</v>
      </c>
      <c r="G199">
        <f t="shared" ca="1" si="39"/>
        <v>731</v>
      </c>
      <c r="H199" t="str">
        <f t="shared" ca="1" si="40"/>
        <v>Medio</v>
      </c>
      <c r="I199" t="str">
        <f t="shared" ca="1" si="41"/>
        <v>Em Dia</v>
      </c>
      <c r="J199" t="str">
        <f t="shared" ca="1" si="42"/>
        <v>Nordeste</v>
      </c>
      <c r="K199" t="str">
        <f t="shared" ca="1" si="43"/>
        <v>Joao Souza</v>
      </c>
    </row>
    <row r="200" spans="1:11" x14ac:dyDescent="0.25">
      <c r="A200" t="str">
        <f t="shared" si="33"/>
        <v>CLI-1198</v>
      </c>
      <c r="B200" s="1">
        <f t="shared" ca="1" si="34"/>
        <v>46089</v>
      </c>
      <c r="C200" t="str">
        <f t="shared" ca="1" si="35"/>
        <v>Credito Pessoal</v>
      </c>
      <c r="D200" s="2">
        <f t="shared" ca="1" si="36"/>
        <v>150000</v>
      </c>
      <c r="E200" s="3">
        <f t="shared" ca="1" si="37"/>
        <v>1.17</v>
      </c>
      <c r="F200" s="4">
        <f t="shared" ca="1" si="38"/>
        <v>60</v>
      </c>
      <c r="G200">
        <f t="shared" ca="1" si="39"/>
        <v>477</v>
      </c>
      <c r="H200" t="str">
        <f t="shared" ca="1" si="40"/>
        <v>Alto</v>
      </c>
      <c r="I200" t="str">
        <f t="shared" ca="1" si="41"/>
        <v>Em Dia</v>
      </c>
      <c r="J200" t="str">
        <f t="shared" ca="1" si="42"/>
        <v>Nordeste</v>
      </c>
      <c r="K200" t="str">
        <f t="shared" ca="1" si="43"/>
        <v>Ana Silva</v>
      </c>
    </row>
    <row r="201" spans="1:11" x14ac:dyDescent="0.25">
      <c r="A201" t="str">
        <f t="shared" si="33"/>
        <v>CLI-1199</v>
      </c>
      <c r="B201" s="1">
        <f t="shared" ca="1" si="34"/>
        <v>45871</v>
      </c>
      <c r="C201" t="str">
        <f t="shared" ca="1" si="35"/>
        <v>Credito Consignado</v>
      </c>
      <c r="D201" s="2">
        <f t="shared" ca="1" si="36"/>
        <v>5000</v>
      </c>
      <c r="E201" s="3">
        <f t="shared" ca="1" si="37"/>
        <v>3.51</v>
      </c>
      <c r="F201" s="4">
        <f t="shared" ca="1" si="38"/>
        <v>36</v>
      </c>
      <c r="G201">
        <f t="shared" ca="1" si="39"/>
        <v>820</v>
      </c>
      <c r="H201" t="str">
        <f t="shared" ca="1" si="40"/>
        <v>Baixo</v>
      </c>
      <c r="I201" t="str">
        <f t="shared" ca="1" si="41"/>
        <v>Em Dia</v>
      </c>
      <c r="J201" t="str">
        <f t="shared" ca="1" si="42"/>
        <v>Nordeste</v>
      </c>
      <c r="K201" t="str">
        <f t="shared" ca="1" si="43"/>
        <v>Maria Lima</v>
      </c>
    </row>
    <row r="202" spans="1:11" x14ac:dyDescent="0.25">
      <c r="A202" t="str">
        <f t="shared" si="33"/>
        <v>CLI-1200</v>
      </c>
      <c r="B202" s="1">
        <f t="shared" ca="1" si="34"/>
        <v>46128</v>
      </c>
      <c r="C202" t="str">
        <f t="shared" ca="1" si="35"/>
        <v>Credito Imobiliario</v>
      </c>
      <c r="D202" s="2">
        <f t="shared" ca="1" si="36"/>
        <v>12000</v>
      </c>
      <c r="E202" s="3">
        <f t="shared" ca="1" si="37"/>
        <v>0.9</v>
      </c>
      <c r="F202" s="4">
        <f t="shared" ca="1" si="38"/>
        <v>24</v>
      </c>
      <c r="G202">
        <f t="shared" ca="1" si="39"/>
        <v>921</v>
      </c>
      <c r="H202" t="str">
        <f t="shared" ca="1" si="40"/>
        <v>Baixo</v>
      </c>
      <c r="I202" t="str">
        <f t="shared" ca="1" si="41"/>
        <v>Em Dia</v>
      </c>
      <c r="J202" t="str">
        <f t="shared" ca="1" si="42"/>
        <v>Nordeste</v>
      </c>
      <c r="K202" t="str">
        <f t="shared" ca="1" si="43"/>
        <v>Maria Lima</v>
      </c>
    </row>
    <row r="203" spans="1:11" x14ac:dyDescent="0.25">
      <c r="A203" t="str">
        <f t="shared" si="33"/>
        <v>CLI-1201</v>
      </c>
      <c r="B203" s="1">
        <f t="shared" ca="1" si="34"/>
        <v>45866</v>
      </c>
      <c r="C203" t="str">
        <f t="shared" ca="1" si="35"/>
        <v>Credito Imobiliario</v>
      </c>
      <c r="D203" s="2">
        <f t="shared" ca="1" si="36"/>
        <v>45000</v>
      </c>
      <c r="E203" s="3">
        <f t="shared" ca="1" si="37"/>
        <v>3.09</v>
      </c>
      <c r="F203" s="4">
        <f t="shared" ca="1" si="38"/>
        <v>48</v>
      </c>
      <c r="G203">
        <f t="shared" ca="1" si="39"/>
        <v>500</v>
      </c>
      <c r="H203" t="str">
        <f t="shared" ca="1" si="40"/>
        <v>Alto</v>
      </c>
      <c r="I203" t="str">
        <f t="shared" ca="1" si="41"/>
        <v>Em Dia</v>
      </c>
      <c r="J203" t="str">
        <f t="shared" ca="1" si="42"/>
        <v>Sul</v>
      </c>
      <c r="K203" t="str">
        <f t="shared" ca="1" si="43"/>
        <v>Maria Lima</v>
      </c>
    </row>
    <row r="204" spans="1:11" x14ac:dyDescent="0.25">
      <c r="A204" t="str">
        <f t="shared" si="33"/>
        <v>CLI-1202</v>
      </c>
      <c r="B204" s="1">
        <f t="shared" ca="1" si="34"/>
        <v>45859</v>
      </c>
      <c r="C204" t="str">
        <f t="shared" ca="1" si="35"/>
        <v>Credito Pessoal</v>
      </c>
      <c r="D204" s="2">
        <f t="shared" ca="1" si="36"/>
        <v>45000</v>
      </c>
      <c r="E204" s="3">
        <f t="shared" ca="1" si="37"/>
        <v>3.66</v>
      </c>
      <c r="F204" s="4">
        <f t="shared" ca="1" si="38"/>
        <v>36</v>
      </c>
      <c r="G204">
        <f t="shared" ca="1" si="39"/>
        <v>410</v>
      </c>
      <c r="H204" t="str">
        <f t="shared" ca="1" si="40"/>
        <v>Alto</v>
      </c>
      <c r="I204" t="str">
        <f t="shared" ca="1" si="41"/>
        <v>Em Dia</v>
      </c>
      <c r="J204" t="str">
        <f t="shared" ca="1" si="42"/>
        <v>Sul</v>
      </c>
      <c r="K204" t="str">
        <f t="shared" ca="1" si="43"/>
        <v>Joao Souza</v>
      </c>
    </row>
    <row r="205" spans="1:11" x14ac:dyDescent="0.25">
      <c r="A205" t="str">
        <f t="shared" si="33"/>
        <v>CLI-1203</v>
      </c>
      <c r="B205" s="1">
        <f t="shared" ca="1" si="34"/>
        <v>45873</v>
      </c>
      <c r="C205" t="str">
        <f t="shared" ca="1" si="35"/>
        <v>Credito Pessoal</v>
      </c>
      <c r="D205" s="2">
        <f t="shared" ca="1" si="36"/>
        <v>12000</v>
      </c>
      <c r="E205" s="3">
        <f t="shared" ca="1" si="37"/>
        <v>3.73</v>
      </c>
      <c r="F205" s="4">
        <f t="shared" ca="1" si="38"/>
        <v>24</v>
      </c>
      <c r="G205">
        <f t="shared" ca="1" si="39"/>
        <v>786</v>
      </c>
      <c r="H205" t="str">
        <f t="shared" ca="1" si="40"/>
        <v>Baixo</v>
      </c>
      <c r="I205" t="str">
        <f t="shared" ca="1" si="41"/>
        <v>Em Dia</v>
      </c>
      <c r="J205" t="str">
        <f t="shared" ca="1" si="42"/>
        <v>Sul</v>
      </c>
      <c r="K205" t="str">
        <f t="shared" ca="1" si="43"/>
        <v>Carlos Mendes</v>
      </c>
    </row>
    <row r="206" spans="1:11" x14ac:dyDescent="0.25">
      <c r="A206" t="str">
        <f t="shared" si="33"/>
        <v>CLI-1204</v>
      </c>
      <c r="B206" s="1">
        <f t="shared" ca="1" si="34"/>
        <v>45967</v>
      </c>
      <c r="C206" t="str">
        <f t="shared" ca="1" si="35"/>
        <v>Financiamento Veiculo</v>
      </c>
      <c r="D206" s="2">
        <f t="shared" ca="1" si="36"/>
        <v>12000</v>
      </c>
      <c r="E206" s="3">
        <f t="shared" ca="1" si="37"/>
        <v>3.14</v>
      </c>
      <c r="F206" s="4">
        <f t="shared" ca="1" si="38"/>
        <v>36</v>
      </c>
      <c r="G206">
        <f t="shared" ca="1" si="39"/>
        <v>854</v>
      </c>
      <c r="H206" t="str">
        <f t="shared" ca="1" si="40"/>
        <v>Baixo</v>
      </c>
      <c r="I206" t="str">
        <f t="shared" ca="1" si="41"/>
        <v>Em Dia</v>
      </c>
      <c r="J206" t="str">
        <f t="shared" ca="1" si="42"/>
        <v>Norte</v>
      </c>
      <c r="K206" t="str">
        <f t="shared" ca="1" si="43"/>
        <v>Ana Silva</v>
      </c>
    </row>
    <row r="207" spans="1:11" x14ac:dyDescent="0.25">
      <c r="A207" t="str">
        <f t="shared" si="33"/>
        <v>CLI-1205</v>
      </c>
      <c r="B207" s="1">
        <f t="shared" ca="1" si="34"/>
        <v>46150</v>
      </c>
      <c r="C207" t="str">
        <f t="shared" ca="1" si="35"/>
        <v>Credito Imobiliario</v>
      </c>
      <c r="D207" s="2">
        <f t="shared" ca="1" si="36"/>
        <v>5000</v>
      </c>
      <c r="E207" s="3">
        <f t="shared" ca="1" si="37"/>
        <v>0.99</v>
      </c>
      <c r="F207" s="4">
        <f t="shared" ca="1" si="38"/>
        <v>360</v>
      </c>
      <c r="G207">
        <f t="shared" ca="1" si="39"/>
        <v>930</v>
      </c>
      <c r="H207" t="str">
        <f t="shared" ca="1" si="40"/>
        <v>Baixo</v>
      </c>
      <c r="I207" t="str">
        <f t="shared" ca="1" si="41"/>
        <v>Em Dia</v>
      </c>
      <c r="J207" t="str">
        <f t="shared" ca="1" si="42"/>
        <v>Centro-Oeste</v>
      </c>
      <c r="K207" t="str">
        <f t="shared" ca="1" si="43"/>
        <v>Joao Souza</v>
      </c>
    </row>
    <row r="208" spans="1:11" x14ac:dyDescent="0.25">
      <c r="A208" t="str">
        <f t="shared" si="33"/>
        <v>CLI-1206</v>
      </c>
      <c r="B208" s="1">
        <f t="shared" ca="1" si="34"/>
        <v>46043</v>
      </c>
      <c r="C208" t="str">
        <f t="shared" ca="1" si="35"/>
        <v>Credito Consignado</v>
      </c>
      <c r="D208" s="2">
        <f t="shared" ca="1" si="36"/>
        <v>300000</v>
      </c>
      <c r="E208" s="3">
        <f t="shared" ca="1" si="37"/>
        <v>3.17</v>
      </c>
      <c r="F208" s="4">
        <f t="shared" ca="1" si="38"/>
        <v>360</v>
      </c>
      <c r="G208">
        <f t="shared" ca="1" si="39"/>
        <v>482</v>
      </c>
      <c r="H208" t="str">
        <f t="shared" ca="1" si="40"/>
        <v>Alto</v>
      </c>
      <c r="I208" t="str">
        <f t="shared" ca="1" si="41"/>
        <v>Atraso 60d</v>
      </c>
      <c r="J208" t="str">
        <f t="shared" ca="1" si="42"/>
        <v>Sul</v>
      </c>
      <c r="K208" t="str">
        <f t="shared" ca="1" si="43"/>
        <v>Maria Lima</v>
      </c>
    </row>
    <row r="209" spans="1:11" x14ac:dyDescent="0.25">
      <c r="A209" t="str">
        <f t="shared" si="33"/>
        <v>CLI-1207</v>
      </c>
      <c r="B209" s="1">
        <f t="shared" ca="1" si="34"/>
        <v>46093</v>
      </c>
      <c r="C209" t="str">
        <f t="shared" ca="1" si="35"/>
        <v>Credito Imobiliario</v>
      </c>
      <c r="D209" s="2">
        <f t="shared" ca="1" si="36"/>
        <v>5000</v>
      </c>
      <c r="E209" s="3">
        <f t="shared" ca="1" si="37"/>
        <v>3.29</v>
      </c>
      <c r="F209" s="4">
        <f t="shared" ca="1" si="38"/>
        <v>48</v>
      </c>
      <c r="G209">
        <f t="shared" ca="1" si="39"/>
        <v>658</v>
      </c>
      <c r="H209" t="str">
        <f t="shared" ca="1" si="40"/>
        <v>Medio</v>
      </c>
      <c r="I209" t="str">
        <f t="shared" ca="1" si="41"/>
        <v>Atraso 60d</v>
      </c>
      <c r="J209" t="str">
        <f t="shared" ca="1" si="42"/>
        <v>Sudeste</v>
      </c>
      <c r="K209" t="str">
        <f t="shared" ca="1" si="43"/>
        <v>Pedro Costa</v>
      </c>
    </row>
    <row r="210" spans="1:11" x14ac:dyDescent="0.25">
      <c r="A210" t="str">
        <f t="shared" si="33"/>
        <v>CLI-1208</v>
      </c>
      <c r="B210" s="1">
        <f t="shared" ca="1" si="34"/>
        <v>45812</v>
      </c>
      <c r="C210" t="str">
        <f t="shared" ca="1" si="35"/>
        <v>Financiamento Veiculo</v>
      </c>
      <c r="D210" s="2">
        <f t="shared" ca="1" si="36"/>
        <v>25000</v>
      </c>
      <c r="E210" s="3">
        <f t="shared" ca="1" si="37"/>
        <v>1.01</v>
      </c>
      <c r="F210" s="4">
        <f t="shared" ca="1" si="38"/>
        <v>12</v>
      </c>
      <c r="G210">
        <f t="shared" ca="1" si="39"/>
        <v>832</v>
      </c>
      <c r="H210" t="str">
        <f t="shared" ca="1" si="40"/>
        <v>Baixo</v>
      </c>
      <c r="I210" t="str">
        <f t="shared" ca="1" si="41"/>
        <v>Em Dia</v>
      </c>
      <c r="J210" t="str">
        <f t="shared" ca="1" si="42"/>
        <v>Nordeste</v>
      </c>
      <c r="K210" t="str">
        <f t="shared" ca="1" si="43"/>
        <v>Carlos Mendes</v>
      </c>
    </row>
    <row r="211" spans="1:11" x14ac:dyDescent="0.25">
      <c r="A211" t="str">
        <f t="shared" si="33"/>
        <v>CLI-1209</v>
      </c>
      <c r="B211" s="1">
        <f t="shared" ca="1" si="34"/>
        <v>45915</v>
      </c>
      <c r="C211" t="str">
        <f t="shared" ca="1" si="35"/>
        <v>Credito Imobiliario</v>
      </c>
      <c r="D211" s="2">
        <f t="shared" ca="1" si="36"/>
        <v>80000</v>
      </c>
      <c r="E211" s="3">
        <f t="shared" ca="1" si="37"/>
        <v>2.21</v>
      </c>
      <c r="F211" s="4">
        <f t="shared" ca="1" si="38"/>
        <v>36</v>
      </c>
      <c r="G211">
        <f t="shared" ca="1" si="39"/>
        <v>664</v>
      </c>
      <c r="H211" t="str">
        <f t="shared" ca="1" si="40"/>
        <v>Medio</v>
      </c>
      <c r="I211" t="str">
        <f t="shared" ca="1" si="41"/>
        <v>Em Dia</v>
      </c>
      <c r="J211" t="str">
        <f t="shared" ca="1" si="42"/>
        <v>Nordeste</v>
      </c>
      <c r="K211" t="str">
        <f t="shared" ca="1" si="43"/>
        <v>Ana Silva</v>
      </c>
    </row>
    <row r="212" spans="1:11" x14ac:dyDescent="0.25">
      <c r="A212" t="str">
        <f t="shared" si="33"/>
        <v>CLI-1210</v>
      </c>
      <c r="B212" s="1">
        <f t="shared" ca="1" si="34"/>
        <v>46089</v>
      </c>
      <c r="C212" t="str">
        <f t="shared" ca="1" si="35"/>
        <v>Financiamento Veiculo</v>
      </c>
      <c r="D212" s="2">
        <f t="shared" ca="1" si="36"/>
        <v>5000</v>
      </c>
      <c r="E212" s="3">
        <f t="shared" ca="1" si="37"/>
        <v>3.06</v>
      </c>
      <c r="F212" s="4">
        <f t="shared" ca="1" si="38"/>
        <v>36</v>
      </c>
      <c r="G212">
        <f t="shared" ca="1" si="39"/>
        <v>891</v>
      </c>
      <c r="H212" t="str">
        <f t="shared" ca="1" si="40"/>
        <v>Baixo</v>
      </c>
      <c r="I212" t="str">
        <f t="shared" ca="1" si="41"/>
        <v>Atraso 30d</v>
      </c>
      <c r="J212" t="str">
        <f t="shared" ca="1" si="42"/>
        <v>Centro-Oeste</v>
      </c>
      <c r="K212" t="str">
        <f t="shared" ca="1" si="43"/>
        <v>Maria Lima</v>
      </c>
    </row>
    <row r="213" spans="1:11" x14ac:dyDescent="0.25">
      <c r="A213" t="str">
        <f t="shared" si="33"/>
        <v>CLI-1211</v>
      </c>
      <c r="B213" s="1">
        <f t="shared" ca="1" si="34"/>
        <v>45914</v>
      </c>
      <c r="C213" t="str">
        <f t="shared" ca="1" si="35"/>
        <v>Financiamento Veiculo</v>
      </c>
      <c r="D213" s="2">
        <f t="shared" ca="1" si="36"/>
        <v>150000</v>
      </c>
      <c r="E213" s="3">
        <f t="shared" ca="1" si="37"/>
        <v>4.43</v>
      </c>
      <c r="F213" s="4">
        <f t="shared" ca="1" si="38"/>
        <v>48</v>
      </c>
      <c r="G213">
        <f t="shared" ca="1" si="39"/>
        <v>935</v>
      </c>
      <c r="H213" t="str">
        <f t="shared" ca="1" si="40"/>
        <v>Baixo</v>
      </c>
      <c r="I213" t="str">
        <f t="shared" ca="1" si="41"/>
        <v>Em Dia</v>
      </c>
      <c r="J213" t="str">
        <f t="shared" ca="1" si="42"/>
        <v>Centro-Oeste</v>
      </c>
      <c r="K213" t="str">
        <f t="shared" ca="1" si="43"/>
        <v>Carlos Mendes</v>
      </c>
    </row>
    <row r="214" spans="1:11" x14ac:dyDescent="0.25">
      <c r="A214" t="str">
        <f t="shared" si="33"/>
        <v>CLI-1212</v>
      </c>
      <c r="B214" s="1">
        <f t="shared" ca="1" si="34"/>
        <v>45989</v>
      </c>
      <c r="C214" t="str">
        <f t="shared" ca="1" si="35"/>
        <v>Credito Imobiliario</v>
      </c>
      <c r="D214" s="2">
        <f t="shared" ca="1" si="36"/>
        <v>45000</v>
      </c>
      <c r="E214" s="3">
        <f t="shared" ca="1" si="37"/>
        <v>3.49</v>
      </c>
      <c r="F214" s="4">
        <f t="shared" ca="1" si="38"/>
        <v>48</v>
      </c>
      <c r="G214">
        <f t="shared" ca="1" si="39"/>
        <v>309</v>
      </c>
      <c r="H214" t="str">
        <f t="shared" ca="1" si="40"/>
        <v>Alto</v>
      </c>
      <c r="I214" t="str">
        <f t="shared" ca="1" si="41"/>
        <v>Atraso 30d</v>
      </c>
      <c r="J214" t="str">
        <f t="shared" ca="1" si="42"/>
        <v>Sul</v>
      </c>
      <c r="K214" t="str">
        <f t="shared" ca="1" si="43"/>
        <v>Joao Souza</v>
      </c>
    </row>
    <row r="215" spans="1:11" x14ac:dyDescent="0.25">
      <c r="A215" t="str">
        <f t="shared" si="33"/>
        <v>CLI-1213</v>
      </c>
      <c r="B215" s="1">
        <f t="shared" ca="1" si="34"/>
        <v>46136</v>
      </c>
      <c r="C215" t="str">
        <f t="shared" ca="1" si="35"/>
        <v>Credito Consignado</v>
      </c>
      <c r="D215" s="2">
        <f t="shared" ca="1" si="36"/>
        <v>25000</v>
      </c>
      <c r="E215" s="3">
        <f t="shared" ca="1" si="37"/>
        <v>4.08</v>
      </c>
      <c r="F215" s="4">
        <f t="shared" ca="1" si="38"/>
        <v>60</v>
      </c>
      <c r="G215">
        <f t="shared" ca="1" si="39"/>
        <v>722</v>
      </c>
      <c r="H215" t="str">
        <f t="shared" ca="1" si="40"/>
        <v>Medio</v>
      </c>
      <c r="I215" t="str">
        <f t="shared" ca="1" si="41"/>
        <v>Inadimplente</v>
      </c>
      <c r="J215" t="str">
        <f t="shared" ca="1" si="42"/>
        <v>Sudeste</v>
      </c>
      <c r="K215" t="str">
        <f t="shared" ca="1" si="43"/>
        <v>Ana Silva</v>
      </c>
    </row>
    <row r="216" spans="1:11" x14ac:dyDescent="0.25">
      <c r="A216" t="str">
        <f t="shared" si="33"/>
        <v>CLI-1214</v>
      </c>
      <c r="B216" s="1">
        <f t="shared" ca="1" si="34"/>
        <v>45867</v>
      </c>
      <c r="C216" t="str">
        <f t="shared" ca="1" si="35"/>
        <v>Credito Pessoal</v>
      </c>
      <c r="D216" s="2">
        <f t="shared" ca="1" si="36"/>
        <v>80000</v>
      </c>
      <c r="E216" s="3">
        <f t="shared" ca="1" si="37"/>
        <v>4.45</v>
      </c>
      <c r="F216" s="4">
        <f t="shared" ca="1" si="38"/>
        <v>360</v>
      </c>
      <c r="G216">
        <f t="shared" ca="1" si="39"/>
        <v>753</v>
      </c>
      <c r="H216" t="str">
        <f t="shared" ca="1" si="40"/>
        <v>Baixo</v>
      </c>
      <c r="I216" t="str">
        <f t="shared" ca="1" si="41"/>
        <v>Em Dia</v>
      </c>
      <c r="J216" t="str">
        <f t="shared" ca="1" si="42"/>
        <v>Sudeste</v>
      </c>
      <c r="K216" t="str">
        <f t="shared" ca="1" si="43"/>
        <v>Ana Silva</v>
      </c>
    </row>
    <row r="217" spans="1:11" x14ac:dyDescent="0.25">
      <c r="A217" t="str">
        <f t="shared" si="33"/>
        <v>CLI-1215</v>
      </c>
      <c r="B217" s="1">
        <f t="shared" ca="1" si="34"/>
        <v>46189</v>
      </c>
      <c r="C217" t="str">
        <f t="shared" ca="1" si="35"/>
        <v>Cartao de Credito</v>
      </c>
      <c r="D217" s="2">
        <f t="shared" ca="1" si="36"/>
        <v>300000</v>
      </c>
      <c r="E217" s="3">
        <f t="shared" ca="1" si="37"/>
        <v>1.03</v>
      </c>
      <c r="F217" s="4">
        <f t="shared" ca="1" si="38"/>
        <v>360</v>
      </c>
      <c r="G217">
        <f t="shared" ca="1" si="39"/>
        <v>840</v>
      </c>
      <c r="H217" t="str">
        <f t="shared" ca="1" si="40"/>
        <v>Baixo</v>
      </c>
      <c r="I217" t="str">
        <f t="shared" ca="1" si="41"/>
        <v>Em Dia</v>
      </c>
      <c r="J217" t="str">
        <f t="shared" ca="1" si="42"/>
        <v>Centro-Oeste</v>
      </c>
      <c r="K217" t="str">
        <f t="shared" ca="1" si="43"/>
        <v>Carlos Mendes</v>
      </c>
    </row>
    <row r="218" spans="1:11" x14ac:dyDescent="0.25">
      <c r="A218" t="str">
        <f t="shared" si="33"/>
        <v>CLI-1216</v>
      </c>
      <c r="B218" s="1">
        <f t="shared" ca="1" si="34"/>
        <v>45793</v>
      </c>
      <c r="C218" t="str">
        <f t="shared" ca="1" si="35"/>
        <v>Financiamento Veiculo</v>
      </c>
      <c r="D218" s="2">
        <f t="shared" ca="1" si="36"/>
        <v>25000</v>
      </c>
      <c r="E218" s="3">
        <f t="shared" ca="1" si="37"/>
        <v>3.12</v>
      </c>
      <c r="F218" s="4">
        <f t="shared" ca="1" si="38"/>
        <v>60</v>
      </c>
      <c r="G218">
        <f t="shared" ca="1" si="39"/>
        <v>371</v>
      </c>
      <c r="H218" t="str">
        <f t="shared" ca="1" si="40"/>
        <v>Alto</v>
      </c>
      <c r="I218" t="str">
        <f t="shared" ca="1" si="41"/>
        <v>Em Dia</v>
      </c>
      <c r="J218" t="str">
        <f t="shared" ca="1" si="42"/>
        <v>Nordeste</v>
      </c>
      <c r="K218" t="str">
        <f t="shared" ca="1" si="43"/>
        <v>Carlos Mendes</v>
      </c>
    </row>
    <row r="219" spans="1:11" x14ac:dyDescent="0.25">
      <c r="A219" t="str">
        <f t="shared" si="33"/>
        <v>CLI-1217</v>
      </c>
      <c r="B219" s="1">
        <f t="shared" ca="1" si="34"/>
        <v>45786</v>
      </c>
      <c r="C219" t="str">
        <f t="shared" ca="1" si="35"/>
        <v>Credito Pessoal</v>
      </c>
      <c r="D219" s="2">
        <f t="shared" ca="1" si="36"/>
        <v>45000</v>
      </c>
      <c r="E219" s="3">
        <f t="shared" ca="1" si="37"/>
        <v>4.18</v>
      </c>
      <c r="F219" s="4">
        <f t="shared" ca="1" si="38"/>
        <v>36</v>
      </c>
      <c r="G219">
        <f t="shared" ca="1" si="39"/>
        <v>834</v>
      </c>
      <c r="H219" t="str">
        <f t="shared" ca="1" si="40"/>
        <v>Baixo</v>
      </c>
      <c r="I219" t="str">
        <f t="shared" ca="1" si="41"/>
        <v>Em Dia</v>
      </c>
      <c r="J219" t="str">
        <f t="shared" ca="1" si="42"/>
        <v>Sul</v>
      </c>
      <c r="K219" t="str">
        <f t="shared" ca="1" si="43"/>
        <v>Maria Lima</v>
      </c>
    </row>
    <row r="220" spans="1:11" x14ac:dyDescent="0.25">
      <c r="A220" t="str">
        <f t="shared" si="33"/>
        <v>CLI-1218</v>
      </c>
      <c r="B220" s="1">
        <f t="shared" ca="1" si="34"/>
        <v>45966</v>
      </c>
      <c r="C220" t="str">
        <f t="shared" ca="1" si="35"/>
        <v>Credito Imobiliario</v>
      </c>
      <c r="D220" s="2">
        <f t="shared" ca="1" si="36"/>
        <v>80000</v>
      </c>
      <c r="E220" s="3">
        <f t="shared" ca="1" si="37"/>
        <v>0.83</v>
      </c>
      <c r="F220" s="4">
        <f t="shared" ca="1" si="38"/>
        <v>60</v>
      </c>
      <c r="G220">
        <f t="shared" ca="1" si="39"/>
        <v>363</v>
      </c>
      <c r="H220" t="str">
        <f t="shared" ca="1" si="40"/>
        <v>Alto</v>
      </c>
      <c r="I220" t="str">
        <f t="shared" ca="1" si="41"/>
        <v>Em Dia</v>
      </c>
      <c r="J220" t="str">
        <f t="shared" ca="1" si="42"/>
        <v>Nordeste</v>
      </c>
      <c r="K220" t="str">
        <f t="shared" ca="1" si="43"/>
        <v>Joao Souza</v>
      </c>
    </row>
    <row r="221" spans="1:11" x14ac:dyDescent="0.25">
      <c r="A221" t="str">
        <f t="shared" si="33"/>
        <v>CLI-1219</v>
      </c>
      <c r="B221" s="1">
        <f t="shared" ca="1" si="34"/>
        <v>46135</v>
      </c>
      <c r="C221" t="str">
        <f t="shared" ca="1" si="35"/>
        <v>Credito Consignado</v>
      </c>
      <c r="D221" s="2">
        <f t="shared" ca="1" si="36"/>
        <v>45000</v>
      </c>
      <c r="E221" s="3">
        <f t="shared" ca="1" si="37"/>
        <v>2.2999999999999998</v>
      </c>
      <c r="F221" s="4">
        <f t="shared" ca="1" si="38"/>
        <v>48</v>
      </c>
      <c r="G221">
        <f t="shared" ca="1" si="39"/>
        <v>661</v>
      </c>
      <c r="H221" t="str">
        <f t="shared" ca="1" si="40"/>
        <v>Medio</v>
      </c>
      <c r="I221" t="str">
        <f t="shared" ca="1" si="41"/>
        <v>Inadimplente</v>
      </c>
      <c r="J221" t="str">
        <f t="shared" ca="1" si="42"/>
        <v>Sudeste</v>
      </c>
      <c r="K221" t="str">
        <f t="shared" ca="1" si="43"/>
        <v>Maria Lima</v>
      </c>
    </row>
    <row r="222" spans="1:11" x14ac:dyDescent="0.25">
      <c r="A222" t="str">
        <f t="shared" si="33"/>
        <v>CLI-1220</v>
      </c>
      <c r="B222" s="1">
        <f t="shared" ca="1" si="34"/>
        <v>46183</v>
      </c>
      <c r="C222" t="str">
        <f t="shared" ca="1" si="35"/>
        <v>Cartao de Credito</v>
      </c>
      <c r="D222" s="2">
        <f t="shared" ca="1" si="36"/>
        <v>150000</v>
      </c>
      <c r="E222" s="3">
        <f t="shared" ca="1" si="37"/>
        <v>2.4</v>
      </c>
      <c r="F222" s="4">
        <f t="shared" ca="1" si="38"/>
        <v>48</v>
      </c>
      <c r="G222">
        <f t="shared" ca="1" si="39"/>
        <v>592</v>
      </c>
      <c r="H222" t="str">
        <f t="shared" ca="1" si="40"/>
        <v>Alto</v>
      </c>
      <c r="I222" t="str">
        <f t="shared" ca="1" si="41"/>
        <v>Em Dia</v>
      </c>
      <c r="J222" t="str">
        <f t="shared" ca="1" si="42"/>
        <v>Centro-Oeste</v>
      </c>
      <c r="K222" t="str">
        <f t="shared" ca="1" si="43"/>
        <v>Pedro Costa</v>
      </c>
    </row>
    <row r="223" spans="1:11" x14ac:dyDescent="0.25">
      <c r="A223" t="str">
        <f t="shared" si="33"/>
        <v>CLI-1221</v>
      </c>
      <c r="B223" s="1">
        <f t="shared" ca="1" si="34"/>
        <v>45830</v>
      </c>
      <c r="C223" t="str">
        <f t="shared" ca="1" si="35"/>
        <v>Credito Pessoal</v>
      </c>
      <c r="D223" s="2">
        <f t="shared" ca="1" si="36"/>
        <v>150000</v>
      </c>
      <c r="E223" s="3">
        <f t="shared" ca="1" si="37"/>
        <v>3.79</v>
      </c>
      <c r="F223" s="4">
        <f t="shared" ca="1" si="38"/>
        <v>360</v>
      </c>
      <c r="G223">
        <f t="shared" ca="1" si="39"/>
        <v>313</v>
      </c>
      <c r="H223" t="str">
        <f t="shared" ca="1" si="40"/>
        <v>Alto</v>
      </c>
      <c r="I223" t="str">
        <f t="shared" ca="1" si="41"/>
        <v>Atraso 30d</v>
      </c>
      <c r="J223" t="str">
        <f t="shared" ca="1" si="42"/>
        <v>Norte</v>
      </c>
      <c r="K223" t="str">
        <f t="shared" ca="1" si="43"/>
        <v>Ana Silva</v>
      </c>
    </row>
    <row r="224" spans="1:11" x14ac:dyDescent="0.25">
      <c r="A224" t="str">
        <f t="shared" si="33"/>
        <v>CLI-1222</v>
      </c>
      <c r="B224" s="1">
        <f t="shared" ca="1" si="34"/>
        <v>46110</v>
      </c>
      <c r="C224" t="str">
        <f t="shared" ca="1" si="35"/>
        <v>Cartao de Credito</v>
      </c>
      <c r="D224" s="2">
        <f t="shared" ca="1" si="36"/>
        <v>12000</v>
      </c>
      <c r="E224" s="3">
        <f t="shared" ca="1" si="37"/>
        <v>3.46</v>
      </c>
      <c r="F224" s="4">
        <f t="shared" ca="1" si="38"/>
        <v>12</v>
      </c>
      <c r="G224">
        <f t="shared" ca="1" si="39"/>
        <v>616</v>
      </c>
      <c r="H224" t="str">
        <f t="shared" ca="1" si="40"/>
        <v>Medio</v>
      </c>
      <c r="I224" t="str">
        <f t="shared" ca="1" si="41"/>
        <v>Atraso 30d</v>
      </c>
      <c r="J224" t="str">
        <f t="shared" ca="1" si="42"/>
        <v>Centro-Oeste</v>
      </c>
      <c r="K224" t="str">
        <f t="shared" ca="1" si="43"/>
        <v>Pedro Costa</v>
      </c>
    </row>
    <row r="225" spans="1:11" x14ac:dyDescent="0.25">
      <c r="A225" t="str">
        <f t="shared" si="33"/>
        <v>CLI-1223</v>
      </c>
      <c r="B225" s="1">
        <f t="shared" ca="1" si="34"/>
        <v>46158</v>
      </c>
      <c r="C225" t="str">
        <f t="shared" ca="1" si="35"/>
        <v>Financiamento Veiculo</v>
      </c>
      <c r="D225" s="2">
        <f ca="1">CHOOSE(RANDBETWEEN(1,7),5000,12000,25000,45000,80000,150000,300000)</f>
        <v>5000</v>
      </c>
      <c r="E225" s="3">
        <f t="shared" ca="1" si="37"/>
        <v>1.19</v>
      </c>
      <c r="F225" s="4">
        <f t="shared" ca="1" si="38"/>
        <v>24</v>
      </c>
      <c r="G225">
        <f t="shared" ca="1" si="39"/>
        <v>320</v>
      </c>
      <c r="H225" t="str">
        <f t="shared" ca="1" si="40"/>
        <v>Alto</v>
      </c>
      <c r="I225" t="str">
        <f t="shared" ca="1" si="41"/>
        <v>Em Dia</v>
      </c>
      <c r="J225" t="str">
        <f t="shared" ca="1" si="42"/>
        <v>Sul</v>
      </c>
      <c r="K225" t="str">
        <f t="shared" ca="1" si="43"/>
        <v>Joao Souza</v>
      </c>
    </row>
    <row r="226" spans="1:11" x14ac:dyDescent="0.25">
      <c r="A226" t="str">
        <f t="shared" si="33"/>
        <v>CLI-1224</v>
      </c>
      <c r="B226" s="1">
        <f t="shared" ca="1" si="34"/>
        <v>45859</v>
      </c>
      <c r="C226" t="str">
        <f t="shared" ca="1" si="35"/>
        <v>Cartao de Credito</v>
      </c>
      <c r="D226" s="2">
        <f ca="1">CHOOSE(RANDBETWEEN(1,7),5000,12000,25000,45000,80000,150000,300000)</f>
        <v>300000</v>
      </c>
      <c r="E226" s="3">
        <f t="shared" ca="1" si="37"/>
        <v>1.53</v>
      </c>
      <c r="F226" s="4">
        <f t="shared" ca="1" si="38"/>
        <v>36</v>
      </c>
      <c r="G226">
        <f t="shared" ca="1" si="39"/>
        <v>576</v>
      </c>
      <c r="H226" t="str">
        <f t="shared" ca="1" si="40"/>
        <v>Alto</v>
      </c>
      <c r="I226" t="str">
        <f t="shared" ca="1" si="41"/>
        <v>Atraso 60d</v>
      </c>
      <c r="J226" t="str">
        <f t="shared" ca="1" si="42"/>
        <v>Sul</v>
      </c>
      <c r="K226" t="str">
        <f t="shared" ca="1" si="43"/>
        <v>Joao Souza</v>
      </c>
    </row>
    <row r="227" spans="1:11" x14ac:dyDescent="0.25">
      <c r="A227" t="str">
        <f t="shared" si="33"/>
        <v>CLI-1225</v>
      </c>
      <c r="B227" s="1">
        <f t="shared" ca="1" si="34"/>
        <v>45849</v>
      </c>
      <c r="C227" t="str">
        <f t="shared" ca="1" si="35"/>
        <v>Credito Imobiliario</v>
      </c>
      <c r="D227" s="2">
        <f t="shared" ca="1" si="36"/>
        <v>5000</v>
      </c>
      <c r="E227" s="3">
        <f t="shared" ca="1" si="37"/>
        <v>1.32</v>
      </c>
      <c r="F227" s="4">
        <f t="shared" ca="1" si="38"/>
        <v>360</v>
      </c>
      <c r="G227">
        <f t="shared" ca="1" si="39"/>
        <v>327</v>
      </c>
      <c r="H227" t="str">
        <f t="shared" ca="1" si="40"/>
        <v>Alto</v>
      </c>
      <c r="I227" t="str">
        <f t="shared" ca="1" si="41"/>
        <v>Atraso 60d</v>
      </c>
      <c r="J227" t="str">
        <f t="shared" ca="1" si="42"/>
        <v>Sudeste</v>
      </c>
      <c r="K227" t="str">
        <f t="shared" ca="1" si="43"/>
        <v>Maria Lima</v>
      </c>
    </row>
    <row r="228" spans="1:11" x14ac:dyDescent="0.25">
      <c r="A228" t="str">
        <f t="shared" si="33"/>
        <v>CLI-1226</v>
      </c>
      <c r="B228" s="1">
        <f t="shared" ca="1" si="34"/>
        <v>46033</v>
      </c>
      <c r="C228" t="str">
        <f t="shared" ca="1" si="35"/>
        <v>Cartao de Credito</v>
      </c>
      <c r="D228" s="2">
        <f t="shared" ca="1" si="36"/>
        <v>45000</v>
      </c>
      <c r="E228" s="3">
        <f t="shared" ca="1" si="37"/>
        <v>3.7</v>
      </c>
      <c r="F228" s="4">
        <f t="shared" ca="1" si="38"/>
        <v>48</v>
      </c>
      <c r="G228">
        <f t="shared" ca="1" si="39"/>
        <v>809</v>
      </c>
      <c r="H228" t="str">
        <f t="shared" ca="1" si="40"/>
        <v>Baixo</v>
      </c>
      <c r="I228" t="str">
        <f t="shared" ca="1" si="41"/>
        <v>Inadimplente</v>
      </c>
      <c r="J228" t="str">
        <f t="shared" ca="1" si="42"/>
        <v>Norte</v>
      </c>
      <c r="K228" t="str">
        <f t="shared" ca="1" si="43"/>
        <v>Joao Souza</v>
      </c>
    </row>
    <row r="229" spans="1:11" x14ac:dyDescent="0.25">
      <c r="A229" t="str">
        <f t="shared" si="33"/>
        <v>CLI-1227</v>
      </c>
      <c r="B229" s="1">
        <f t="shared" ca="1" si="34"/>
        <v>46080</v>
      </c>
      <c r="C229" t="str">
        <f t="shared" ca="1" si="35"/>
        <v>Credito Imobiliario</v>
      </c>
      <c r="D229" s="2">
        <f t="shared" ca="1" si="36"/>
        <v>150000</v>
      </c>
      <c r="E229" s="3">
        <f t="shared" ca="1" si="37"/>
        <v>1.57</v>
      </c>
      <c r="F229" s="4">
        <f t="shared" ca="1" si="38"/>
        <v>120</v>
      </c>
      <c r="G229">
        <f t="shared" ca="1" si="39"/>
        <v>745</v>
      </c>
      <c r="H229" t="str">
        <f t="shared" ca="1" si="40"/>
        <v>Medio</v>
      </c>
      <c r="I229" t="str">
        <f t="shared" ca="1" si="41"/>
        <v>Atraso 30d</v>
      </c>
      <c r="J229" t="str">
        <f t="shared" ca="1" si="42"/>
        <v>Nordeste</v>
      </c>
      <c r="K229" t="str">
        <f t="shared" ca="1" si="43"/>
        <v>Pedro Costa</v>
      </c>
    </row>
    <row r="230" spans="1:11" x14ac:dyDescent="0.25">
      <c r="A230" t="str">
        <f t="shared" si="33"/>
        <v>CLI-1228</v>
      </c>
      <c r="B230" s="1">
        <f t="shared" ca="1" si="34"/>
        <v>45758</v>
      </c>
      <c r="C230" t="str">
        <f t="shared" ca="1" si="35"/>
        <v>Credito Consignado</v>
      </c>
      <c r="D230" s="2">
        <f t="shared" ca="1" si="36"/>
        <v>5000</v>
      </c>
      <c r="E230" s="3">
        <f t="shared" ca="1" si="37"/>
        <v>0.86</v>
      </c>
      <c r="F230" s="4">
        <f t="shared" ca="1" si="38"/>
        <v>360</v>
      </c>
      <c r="G230">
        <f t="shared" ca="1" si="39"/>
        <v>843</v>
      </c>
      <c r="H230" t="str">
        <f t="shared" ca="1" si="40"/>
        <v>Baixo</v>
      </c>
      <c r="I230" t="str">
        <f t="shared" ca="1" si="41"/>
        <v>Inadimplente</v>
      </c>
      <c r="J230" t="str">
        <f t="shared" ca="1" si="42"/>
        <v>Norte</v>
      </c>
      <c r="K230" t="str">
        <f t="shared" ca="1" si="43"/>
        <v>Joao Souza</v>
      </c>
    </row>
    <row r="231" spans="1:11" x14ac:dyDescent="0.25">
      <c r="A231" t="str">
        <f t="shared" si="33"/>
        <v>CLI-1229</v>
      </c>
      <c r="B231" s="1">
        <f t="shared" ca="1" si="34"/>
        <v>45958</v>
      </c>
      <c r="C231" t="str">
        <f t="shared" ca="1" si="35"/>
        <v>Financiamento Veiculo</v>
      </c>
      <c r="D231" s="2">
        <f t="shared" ca="1" si="36"/>
        <v>80000</v>
      </c>
      <c r="E231" s="3">
        <f t="shared" ca="1" si="37"/>
        <v>2.5</v>
      </c>
      <c r="F231" s="4">
        <f t="shared" ca="1" si="38"/>
        <v>24</v>
      </c>
      <c r="G231">
        <f t="shared" ca="1" si="39"/>
        <v>527</v>
      </c>
      <c r="H231" t="str">
        <f t="shared" ca="1" si="40"/>
        <v>Alto</v>
      </c>
      <c r="I231" t="str">
        <f t="shared" ca="1" si="41"/>
        <v>Em Dia</v>
      </c>
      <c r="J231" t="str">
        <f t="shared" ca="1" si="42"/>
        <v>Sudeste</v>
      </c>
      <c r="K231" t="str">
        <f t="shared" ca="1" si="43"/>
        <v>Carlos Mendes</v>
      </c>
    </row>
    <row r="232" spans="1:11" x14ac:dyDescent="0.25">
      <c r="A232" t="str">
        <f t="shared" si="33"/>
        <v>CLI-1230</v>
      </c>
      <c r="B232" s="1">
        <f t="shared" ca="1" si="34"/>
        <v>46082</v>
      </c>
      <c r="C232" t="str">
        <f t="shared" ca="1" si="35"/>
        <v>Credito Pessoal</v>
      </c>
      <c r="D232" s="2">
        <f t="shared" ca="1" si="36"/>
        <v>12000</v>
      </c>
      <c r="E232" s="3">
        <f t="shared" ca="1" si="37"/>
        <v>4.24</v>
      </c>
      <c r="F232" s="4">
        <f t="shared" ca="1" si="38"/>
        <v>360</v>
      </c>
      <c r="G232">
        <f t="shared" ca="1" si="39"/>
        <v>400</v>
      </c>
      <c r="H232" t="str">
        <f t="shared" ca="1" si="40"/>
        <v>Alto</v>
      </c>
      <c r="I232" t="str">
        <f t="shared" ca="1" si="41"/>
        <v>Em Dia</v>
      </c>
      <c r="J232" t="str">
        <f t="shared" ca="1" si="42"/>
        <v>Sudeste</v>
      </c>
      <c r="K232" t="str">
        <f t="shared" ca="1" si="43"/>
        <v>Carlos Mendes</v>
      </c>
    </row>
    <row r="233" spans="1:11" x14ac:dyDescent="0.25">
      <c r="A233" t="str">
        <f t="shared" si="33"/>
        <v>CLI-1231</v>
      </c>
      <c r="B233" s="1">
        <f t="shared" ca="1" si="34"/>
        <v>46110</v>
      </c>
      <c r="C233" t="str">
        <f t="shared" ca="1" si="35"/>
        <v>Cartao de Credito</v>
      </c>
      <c r="D233" s="2">
        <f t="shared" ca="1" si="36"/>
        <v>25000</v>
      </c>
      <c r="E233" s="3">
        <f t="shared" ca="1" si="37"/>
        <v>1.92</v>
      </c>
      <c r="F233" s="4">
        <f t="shared" ca="1" si="38"/>
        <v>24</v>
      </c>
      <c r="G233">
        <f t="shared" ca="1" si="39"/>
        <v>387</v>
      </c>
      <c r="H233" t="str">
        <f t="shared" ca="1" si="40"/>
        <v>Alto</v>
      </c>
      <c r="I233" t="str">
        <f t="shared" ca="1" si="41"/>
        <v>Atraso 30d</v>
      </c>
      <c r="J233" t="str">
        <f t="shared" ca="1" si="42"/>
        <v>Sudeste</v>
      </c>
      <c r="K233" t="str">
        <f t="shared" ca="1" si="43"/>
        <v>Joao Souza</v>
      </c>
    </row>
    <row r="234" spans="1:11" x14ac:dyDescent="0.25">
      <c r="A234" t="str">
        <f t="shared" si="33"/>
        <v>CLI-1232</v>
      </c>
      <c r="B234" s="1">
        <f t="shared" ca="1" si="34"/>
        <v>46135</v>
      </c>
      <c r="C234" t="str">
        <f t="shared" ca="1" si="35"/>
        <v>Credito Imobiliario</v>
      </c>
      <c r="D234" s="2">
        <f t="shared" ca="1" si="36"/>
        <v>12000</v>
      </c>
      <c r="E234" s="3">
        <f t="shared" ca="1" si="37"/>
        <v>1.1599999999999999</v>
      </c>
      <c r="F234" s="4">
        <f t="shared" ca="1" si="38"/>
        <v>36</v>
      </c>
      <c r="G234">
        <f t="shared" ca="1" si="39"/>
        <v>418</v>
      </c>
      <c r="H234" t="str">
        <f t="shared" ca="1" si="40"/>
        <v>Alto</v>
      </c>
      <c r="I234" t="str">
        <f t="shared" ca="1" si="41"/>
        <v>Em Dia</v>
      </c>
      <c r="J234" t="str">
        <f t="shared" ca="1" si="42"/>
        <v>Nordeste</v>
      </c>
      <c r="K234" t="str">
        <f t="shared" ca="1" si="43"/>
        <v>Pedro Costa</v>
      </c>
    </row>
    <row r="235" spans="1:11" x14ac:dyDescent="0.25">
      <c r="A235" t="str">
        <f t="shared" si="33"/>
        <v>CLI-1233</v>
      </c>
      <c r="B235" s="1">
        <f t="shared" ca="1" si="34"/>
        <v>45766</v>
      </c>
      <c r="C235" t="str">
        <f t="shared" ca="1" si="35"/>
        <v>Financiamento Veiculo</v>
      </c>
      <c r="D235" s="2">
        <f t="shared" ca="1" si="36"/>
        <v>80000</v>
      </c>
      <c r="E235" s="3">
        <f t="shared" ca="1" si="37"/>
        <v>2.15</v>
      </c>
      <c r="F235" s="4">
        <f t="shared" ca="1" si="38"/>
        <v>36</v>
      </c>
      <c r="G235">
        <f t="shared" ca="1" si="39"/>
        <v>303</v>
      </c>
      <c r="H235" t="str">
        <f t="shared" ca="1" si="40"/>
        <v>Alto</v>
      </c>
      <c r="I235" t="str">
        <f t="shared" ca="1" si="41"/>
        <v>Em Dia</v>
      </c>
      <c r="J235" t="str">
        <f t="shared" ca="1" si="42"/>
        <v>Centro-Oeste</v>
      </c>
      <c r="K235" t="str">
        <f t="shared" ca="1" si="43"/>
        <v>Joao Souza</v>
      </c>
    </row>
    <row r="236" spans="1:11" x14ac:dyDescent="0.25">
      <c r="A236" t="str">
        <f t="shared" si="33"/>
        <v>CLI-1234</v>
      </c>
      <c r="B236" s="1">
        <f t="shared" ca="1" si="34"/>
        <v>45946</v>
      </c>
      <c r="C236" t="str">
        <f t="shared" ca="1" si="35"/>
        <v>Credito Imobiliario</v>
      </c>
      <c r="D236" s="2">
        <f t="shared" ca="1" si="36"/>
        <v>45000</v>
      </c>
      <c r="E236" s="3">
        <f t="shared" ca="1" si="37"/>
        <v>4</v>
      </c>
      <c r="F236" s="4">
        <f t="shared" ca="1" si="38"/>
        <v>24</v>
      </c>
      <c r="G236">
        <f t="shared" ca="1" si="39"/>
        <v>622</v>
      </c>
      <c r="H236" t="str">
        <f t="shared" ca="1" si="40"/>
        <v>Medio</v>
      </c>
      <c r="I236" t="str">
        <f t="shared" ca="1" si="41"/>
        <v>Atraso 30d</v>
      </c>
      <c r="J236" t="str">
        <f t="shared" ca="1" si="42"/>
        <v>Nordeste</v>
      </c>
      <c r="K236" t="str">
        <f t="shared" ca="1" si="43"/>
        <v>Joao Souza</v>
      </c>
    </row>
    <row r="237" spans="1:11" x14ac:dyDescent="0.25">
      <c r="A237" t="str">
        <f t="shared" si="33"/>
        <v>CLI-1235</v>
      </c>
      <c r="B237" s="1">
        <f t="shared" ca="1" si="34"/>
        <v>45987</v>
      </c>
      <c r="C237" t="str">
        <f t="shared" ca="1" si="35"/>
        <v>Financiamento Veiculo</v>
      </c>
      <c r="D237" s="2">
        <f t="shared" ca="1" si="36"/>
        <v>80000</v>
      </c>
      <c r="E237" s="3">
        <f t="shared" ca="1" si="37"/>
        <v>1.04</v>
      </c>
      <c r="F237" s="4">
        <f t="shared" ca="1" si="38"/>
        <v>360</v>
      </c>
      <c r="G237">
        <f t="shared" ca="1" si="39"/>
        <v>645</v>
      </c>
      <c r="H237" t="str">
        <f t="shared" ca="1" si="40"/>
        <v>Medio</v>
      </c>
      <c r="I237" t="str">
        <f t="shared" ca="1" si="41"/>
        <v>Em Dia</v>
      </c>
      <c r="J237" t="str">
        <f t="shared" ca="1" si="42"/>
        <v>Sul</v>
      </c>
      <c r="K237" t="str">
        <f t="shared" ca="1" si="43"/>
        <v>Pedro Costa</v>
      </c>
    </row>
    <row r="238" spans="1:11" x14ac:dyDescent="0.25">
      <c r="A238" t="str">
        <f t="shared" si="33"/>
        <v>CLI-1236</v>
      </c>
      <c r="B238" s="1">
        <f t="shared" ca="1" si="34"/>
        <v>45759</v>
      </c>
      <c r="C238" t="str">
        <f t="shared" ca="1" si="35"/>
        <v>Credito Imobiliario</v>
      </c>
      <c r="D238" s="2">
        <f t="shared" ca="1" si="36"/>
        <v>5000</v>
      </c>
      <c r="E238" s="3">
        <f t="shared" ca="1" si="37"/>
        <v>2.2999999999999998</v>
      </c>
      <c r="F238" s="4">
        <f t="shared" ca="1" si="38"/>
        <v>36</v>
      </c>
      <c r="G238">
        <f t="shared" ca="1" si="39"/>
        <v>490</v>
      </c>
      <c r="H238" t="str">
        <f t="shared" ca="1" si="40"/>
        <v>Alto</v>
      </c>
      <c r="I238" t="str">
        <f t="shared" ca="1" si="41"/>
        <v>Em Dia</v>
      </c>
      <c r="J238" t="str">
        <f t="shared" ca="1" si="42"/>
        <v>Sudeste</v>
      </c>
      <c r="K238" t="str">
        <f t="shared" ca="1" si="43"/>
        <v>Ana Silva</v>
      </c>
    </row>
    <row r="239" spans="1:11" x14ac:dyDescent="0.25">
      <c r="A239" t="str">
        <f t="shared" si="33"/>
        <v>CLI-1237</v>
      </c>
      <c r="B239" s="1">
        <f t="shared" ca="1" si="34"/>
        <v>46045</v>
      </c>
      <c r="C239" t="str">
        <f t="shared" ca="1" si="35"/>
        <v>Credito Imobiliario</v>
      </c>
      <c r="D239" s="2">
        <f t="shared" ca="1" si="36"/>
        <v>45000</v>
      </c>
      <c r="E239" s="3">
        <f t="shared" ca="1" si="37"/>
        <v>2.21</v>
      </c>
      <c r="F239" s="4">
        <f t="shared" ca="1" si="38"/>
        <v>48</v>
      </c>
      <c r="G239">
        <f t="shared" ca="1" si="39"/>
        <v>916</v>
      </c>
      <c r="H239" t="str">
        <f t="shared" ca="1" si="40"/>
        <v>Baixo</v>
      </c>
      <c r="I239" t="str">
        <f t="shared" ca="1" si="41"/>
        <v>Inadimplente</v>
      </c>
      <c r="J239" t="str">
        <f t="shared" ca="1" si="42"/>
        <v>Norte</v>
      </c>
      <c r="K239" t="str">
        <f t="shared" ca="1" si="43"/>
        <v>Maria Lima</v>
      </c>
    </row>
    <row r="240" spans="1:11" x14ac:dyDescent="0.25">
      <c r="A240" t="str">
        <f t="shared" si="33"/>
        <v>CLI-1238</v>
      </c>
      <c r="B240" s="1">
        <f t="shared" ca="1" si="34"/>
        <v>46240</v>
      </c>
      <c r="C240" t="str">
        <f t="shared" ca="1" si="35"/>
        <v>Credito Consignado</v>
      </c>
      <c r="D240" s="2">
        <f t="shared" ca="1" si="36"/>
        <v>5000</v>
      </c>
      <c r="E240" s="3">
        <f t="shared" ca="1" si="37"/>
        <v>4.16</v>
      </c>
      <c r="F240" s="4">
        <f t="shared" ca="1" si="38"/>
        <v>36</v>
      </c>
      <c r="G240">
        <f t="shared" ca="1" si="39"/>
        <v>830</v>
      </c>
      <c r="H240" t="str">
        <f t="shared" ca="1" si="40"/>
        <v>Baixo</v>
      </c>
      <c r="I240" t="str">
        <f t="shared" ca="1" si="41"/>
        <v>Inadimplente</v>
      </c>
      <c r="J240" t="str">
        <f t="shared" ca="1" si="42"/>
        <v>Nordeste</v>
      </c>
      <c r="K240" t="str">
        <f t="shared" ca="1" si="43"/>
        <v>Carlos Mendes</v>
      </c>
    </row>
    <row r="241" spans="1:11" x14ac:dyDescent="0.25">
      <c r="A241" t="str">
        <f t="shared" si="33"/>
        <v>CLI-1239</v>
      </c>
      <c r="B241" s="1">
        <f t="shared" ca="1" si="34"/>
        <v>45842</v>
      </c>
      <c r="C241" t="str">
        <f t="shared" ca="1" si="35"/>
        <v>Financiamento Veiculo</v>
      </c>
      <c r="D241" s="2">
        <f t="shared" ca="1" si="36"/>
        <v>150000</v>
      </c>
      <c r="E241" s="3">
        <f t="shared" ca="1" si="37"/>
        <v>3.32</v>
      </c>
      <c r="F241" s="4">
        <f t="shared" ca="1" si="38"/>
        <v>48</v>
      </c>
      <c r="G241">
        <f t="shared" ca="1" si="39"/>
        <v>475</v>
      </c>
      <c r="H241" t="str">
        <f t="shared" ca="1" si="40"/>
        <v>Alto</v>
      </c>
      <c r="I241" t="str">
        <f t="shared" ca="1" si="41"/>
        <v>Atraso 30d</v>
      </c>
      <c r="J241" t="str">
        <f t="shared" ca="1" si="42"/>
        <v>Norte</v>
      </c>
      <c r="K241" t="str">
        <f t="shared" ca="1" si="43"/>
        <v>Maria Lima</v>
      </c>
    </row>
    <row r="242" spans="1:11" x14ac:dyDescent="0.25">
      <c r="A242" t="str">
        <f t="shared" si="33"/>
        <v>CLI-1240</v>
      </c>
      <c r="B242" s="1">
        <f t="shared" ca="1" si="34"/>
        <v>46089</v>
      </c>
      <c r="C242" t="str">
        <f t="shared" ca="1" si="35"/>
        <v>Credito Pessoal</v>
      </c>
      <c r="D242" s="2">
        <f t="shared" ca="1" si="36"/>
        <v>25000</v>
      </c>
      <c r="E242" s="3">
        <f t="shared" ca="1" si="37"/>
        <v>1.56</v>
      </c>
      <c r="F242" s="4">
        <f t="shared" ca="1" si="38"/>
        <v>24</v>
      </c>
      <c r="G242">
        <f t="shared" ca="1" si="39"/>
        <v>687</v>
      </c>
      <c r="H242" t="str">
        <f t="shared" ca="1" si="40"/>
        <v>Medio</v>
      </c>
      <c r="I242" t="str">
        <f t="shared" ca="1" si="41"/>
        <v>Em Dia</v>
      </c>
      <c r="J242" t="str">
        <f t="shared" ca="1" si="42"/>
        <v>Sudeste</v>
      </c>
      <c r="K242" t="str">
        <f t="shared" ca="1" si="43"/>
        <v>Pedro Costa</v>
      </c>
    </row>
    <row r="243" spans="1:11" x14ac:dyDescent="0.25">
      <c r="A243" t="str">
        <f t="shared" si="33"/>
        <v>CLI-1241</v>
      </c>
      <c r="B243" s="1">
        <f t="shared" ca="1" si="34"/>
        <v>45770</v>
      </c>
      <c r="C243" t="str">
        <f t="shared" ca="1" si="35"/>
        <v>Cartao de Credito</v>
      </c>
      <c r="D243" s="2">
        <f t="shared" ca="1" si="36"/>
        <v>300000</v>
      </c>
      <c r="E243" s="3">
        <f t="shared" ca="1" si="37"/>
        <v>2.12</v>
      </c>
      <c r="F243" s="4">
        <f t="shared" ca="1" si="38"/>
        <v>24</v>
      </c>
      <c r="G243">
        <f t="shared" ca="1" si="39"/>
        <v>614</v>
      </c>
      <c r="H243" t="str">
        <f t="shared" ca="1" si="40"/>
        <v>Medio</v>
      </c>
      <c r="I243" t="str">
        <f t="shared" ca="1" si="41"/>
        <v>Em Dia</v>
      </c>
      <c r="J243" t="str">
        <f t="shared" ca="1" si="42"/>
        <v>Nordeste</v>
      </c>
      <c r="K243" t="str">
        <f t="shared" ca="1" si="43"/>
        <v>Joao Souza</v>
      </c>
    </row>
    <row r="244" spans="1:11" x14ac:dyDescent="0.25">
      <c r="A244" t="str">
        <f t="shared" si="33"/>
        <v>CLI-1242</v>
      </c>
      <c r="B244" s="1">
        <f t="shared" ca="1" si="34"/>
        <v>46178</v>
      </c>
      <c r="C244" t="str">
        <f t="shared" ca="1" si="35"/>
        <v>Financiamento Veiculo</v>
      </c>
      <c r="D244" s="2">
        <f t="shared" ca="1" si="36"/>
        <v>45000</v>
      </c>
      <c r="E244" s="3">
        <f t="shared" ca="1" si="37"/>
        <v>2.2799999999999998</v>
      </c>
      <c r="F244" s="4">
        <f t="shared" ca="1" si="38"/>
        <v>24</v>
      </c>
      <c r="G244">
        <f t="shared" ca="1" si="39"/>
        <v>387</v>
      </c>
      <c r="H244" t="str">
        <f t="shared" ca="1" si="40"/>
        <v>Alto</v>
      </c>
      <c r="I244" t="str">
        <f t="shared" ca="1" si="41"/>
        <v>Em Dia</v>
      </c>
      <c r="J244" t="str">
        <f t="shared" ca="1" si="42"/>
        <v>Nordeste</v>
      </c>
      <c r="K244" t="str">
        <f t="shared" ca="1" si="43"/>
        <v>Ana Silva</v>
      </c>
    </row>
    <row r="245" spans="1:11" x14ac:dyDescent="0.25">
      <c r="A245" t="str">
        <f t="shared" si="33"/>
        <v>CLI-1243</v>
      </c>
      <c r="B245" s="1">
        <f t="shared" ca="1" si="34"/>
        <v>45839</v>
      </c>
      <c r="C245" t="str">
        <f t="shared" ca="1" si="35"/>
        <v>Financiamento Veiculo</v>
      </c>
      <c r="D245" s="2">
        <f t="shared" ca="1" si="36"/>
        <v>80000</v>
      </c>
      <c r="E245" s="3">
        <f t="shared" ca="1" si="37"/>
        <v>2.98</v>
      </c>
      <c r="F245" s="4">
        <f t="shared" ca="1" si="38"/>
        <v>48</v>
      </c>
      <c r="G245">
        <f t="shared" ca="1" si="39"/>
        <v>511</v>
      </c>
      <c r="H245" t="str">
        <f t="shared" ca="1" si="40"/>
        <v>Alto</v>
      </c>
      <c r="I245" t="str">
        <f t="shared" ca="1" si="41"/>
        <v>Em Dia</v>
      </c>
      <c r="J245" t="str">
        <f t="shared" ca="1" si="42"/>
        <v>Sul</v>
      </c>
      <c r="K245" t="str">
        <f t="shared" ca="1" si="43"/>
        <v>Joao Souza</v>
      </c>
    </row>
    <row r="246" spans="1:11" x14ac:dyDescent="0.25">
      <c r="A246" t="str">
        <f t="shared" si="33"/>
        <v>CLI-1244</v>
      </c>
      <c r="B246" s="1">
        <f t="shared" ca="1" si="34"/>
        <v>45987</v>
      </c>
      <c r="C246" t="str">
        <f t="shared" ca="1" si="35"/>
        <v>Financiamento Veiculo</v>
      </c>
      <c r="D246" s="2">
        <f t="shared" ca="1" si="36"/>
        <v>25000</v>
      </c>
      <c r="E246" s="3">
        <f t="shared" ca="1" si="37"/>
        <v>2.73</v>
      </c>
      <c r="F246" s="4">
        <f t="shared" ca="1" si="38"/>
        <v>12</v>
      </c>
      <c r="G246">
        <f t="shared" ca="1" si="39"/>
        <v>386</v>
      </c>
      <c r="H246" t="str">
        <f t="shared" ca="1" si="40"/>
        <v>Alto</v>
      </c>
      <c r="I246" t="str">
        <f t="shared" ca="1" si="41"/>
        <v>Em Dia</v>
      </c>
      <c r="J246" t="str">
        <f t="shared" ca="1" si="42"/>
        <v>Sudeste</v>
      </c>
      <c r="K246" t="str">
        <f t="shared" ca="1" si="43"/>
        <v>Carlos Mendes</v>
      </c>
    </row>
    <row r="247" spans="1:11" x14ac:dyDescent="0.25">
      <c r="A247" t="str">
        <f t="shared" si="33"/>
        <v>CLI-1245</v>
      </c>
      <c r="B247" s="1">
        <f t="shared" ca="1" si="34"/>
        <v>45994</v>
      </c>
      <c r="C247" t="str">
        <f t="shared" ca="1" si="35"/>
        <v>Credito Consignado</v>
      </c>
      <c r="D247" s="2">
        <f t="shared" ca="1" si="36"/>
        <v>300000</v>
      </c>
      <c r="E247" s="3">
        <f t="shared" ca="1" si="37"/>
        <v>4.16</v>
      </c>
      <c r="F247" s="4">
        <f t="shared" ca="1" si="38"/>
        <v>24</v>
      </c>
      <c r="G247">
        <f t="shared" ca="1" si="39"/>
        <v>516</v>
      </c>
      <c r="H247" t="str">
        <f t="shared" ca="1" si="40"/>
        <v>Alto</v>
      </c>
      <c r="I247" t="str">
        <f t="shared" ca="1" si="41"/>
        <v>Atraso 30d</v>
      </c>
      <c r="J247" t="str">
        <f t="shared" ca="1" si="42"/>
        <v>Sul</v>
      </c>
      <c r="K247" t="str">
        <f t="shared" ca="1" si="43"/>
        <v>Joao Souza</v>
      </c>
    </row>
    <row r="248" spans="1:11" x14ac:dyDescent="0.25">
      <c r="A248" t="str">
        <f t="shared" si="33"/>
        <v>CLI-1246</v>
      </c>
      <c r="B248" s="1">
        <f t="shared" ca="1" si="34"/>
        <v>46038</v>
      </c>
      <c r="C248" t="str">
        <f t="shared" ca="1" si="35"/>
        <v>Credito Imobiliario</v>
      </c>
      <c r="D248" s="2">
        <f t="shared" ca="1" si="36"/>
        <v>150000</v>
      </c>
      <c r="E248" s="3">
        <f t="shared" ca="1" si="37"/>
        <v>0.64</v>
      </c>
      <c r="F248" s="4">
        <f t="shared" ca="1" si="38"/>
        <v>24</v>
      </c>
      <c r="G248">
        <f t="shared" ca="1" si="39"/>
        <v>629</v>
      </c>
      <c r="H248" t="str">
        <f t="shared" ca="1" si="40"/>
        <v>Medio</v>
      </c>
      <c r="I248" t="str">
        <f t="shared" ca="1" si="41"/>
        <v>Atraso 30d</v>
      </c>
      <c r="J248" t="str">
        <f t="shared" ca="1" si="42"/>
        <v>Sudeste</v>
      </c>
      <c r="K248" t="str">
        <f t="shared" ca="1" si="43"/>
        <v>Carlos Mendes</v>
      </c>
    </row>
    <row r="249" spans="1:11" x14ac:dyDescent="0.25">
      <c r="A249" t="str">
        <f t="shared" si="33"/>
        <v>CLI-1247</v>
      </c>
      <c r="B249" s="1">
        <f t="shared" ca="1" si="34"/>
        <v>45972</v>
      </c>
      <c r="C249" t="str">
        <f t="shared" ca="1" si="35"/>
        <v>Cartao de Credito</v>
      </c>
      <c r="D249" s="2">
        <f t="shared" ca="1" si="36"/>
        <v>45000</v>
      </c>
      <c r="E249" s="3">
        <f t="shared" ca="1" si="37"/>
        <v>2.68</v>
      </c>
      <c r="F249" s="4">
        <f t="shared" ca="1" si="38"/>
        <v>120</v>
      </c>
      <c r="G249">
        <f t="shared" ca="1" si="39"/>
        <v>434</v>
      </c>
      <c r="H249" t="str">
        <f t="shared" ca="1" si="40"/>
        <v>Alto</v>
      </c>
      <c r="I249" t="str">
        <f t="shared" ca="1" si="41"/>
        <v>Em Dia</v>
      </c>
      <c r="J249" t="str">
        <f t="shared" ca="1" si="42"/>
        <v>Sudeste</v>
      </c>
      <c r="K249" t="str">
        <f t="shared" ca="1" si="43"/>
        <v>Maria Lima</v>
      </c>
    </row>
    <row r="250" spans="1:11" x14ac:dyDescent="0.25">
      <c r="A250" t="str">
        <f t="shared" si="33"/>
        <v>CLI-1248</v>
      </c>
      <c r="B250" s="1">
        <f t="shared" ca="1" si="34"/>
        <v>46180</v>
      </c>
      <c r="C250" t="str">
        <f t="shared" ca="1" si="35"/>
        <v>Financiamento Veiculo</v>
      </c>
      <c r="D250" s="2">
        <f t="shared" ca="1" si="36"/>
        <v>5000</v>
      </c>
      <c r="E250" s="3">
        <f t="shared" ca="1" si="37"/>
        <v>3.39</v>
      </c>
      <c r="F250" s="4">
        <f t="shared" ca="1" si="38"/>
        <v>24</v>
      </c>
      <c r="G250">
        <f t="shared" ca="1" si="39"/>
        <v>832</v>
      </c>
      <c r="H250" t="str">
        <f t="shared" ca="1" si="40"/>
        <v>Baixo</v>
      </c>
      <c r="I250" t="str">
        <f t="shared" ca="1" si="41"/>
        <v>Em Dia</v>
      </c>
      <c r="J250" t="str">
        <f t="shared" ca="1" si="42"/>
        <v>Nordeste</v>
      </c>
      <c r="K250" t="str">
        <f t="shared" ca="1" si="43"/>
        <v>Ana Silva</v>
      </c>
    </row>
    <row r="251" spans="1:11" x14ac:dyDescent="0.25">
      <c r="A251" t="str">
        <f t="shared" si="33"/>
        <v>CLI-1249</v>
      </c>
      <c r="B251" s="1">
        <f t="shared" ca="1" si="34"/>
        <v>45960</v>
      </c>
      <c r="C251" t="str">
        <f t="shared" ca="1" si="35"/>
        <v>Credito Imobiliario</v>
      </c>
      <c r="D251" s="2">
        <f t="shared" ca="1" si="36"/>
        <v>5000</v>
      </c>
      <c r="E251" s="3">
        <f t="shared" ca="1" si="37"/>
        <v>1.62</v>
      </c>
      <c r="F251" s="4">
        <f t="shared" ca="1" si="38"/>
        <v>60</v>
      </c>
      <c r="G251">
        <f t="shared" ca="1" si="39"/>
        <v>762</v>
      </c>
      <c r="H251" t="str">
        <f t="shared" ca="1" si="40"/>
        <v>Baixo</v>
      </c>
      <c r="I251" t="str">
        <f t="shared" ca="1" si="41"/>
        <v>Inadimplente</v>
      </c>
      <c r="J251" t="str">
        <f t="shared" ca="1" si="42"/>
        <v>Sul</v>
      </c>
      <c r="K251" t="str">
        <f t="shared" ca="1" si="43"/>
        <v>Maria Lima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7954-AA71-4A9B-8156-F42A177AC10F}">
  <dimension ref="A1:J32"/>
  <sheetViews>
    <sheetView zoomScaleNormal="100" workbookViewId="0"/>
  </sheetViews>
  <sheetFormatPr defaultRowHeight="15" x14ac:dyDescent="0.25"/>
  <cols>
    <col min="1" max="1" width="18.42578125" bestFit="1" customWidth="1"/>
    <col min="2" max="2" width="28.5703125" bestFit="1" customWidth="1"/>
    <col min="3" max="3" width="24" bestFit="1" customWidth="1"/>
    <col min="4" max="5" width="28.5703125" bestFit="1" customWidth="1"/>
    <col min="7" max="7" width="18.42578125" bestFit="1" customWidth="1"/>
    <col min="8" max="8" width="28.5703125" bestFit="1" customWidth="1"/>
    <col min="9" max="14" width="14.5703125" bestFit="1" customWidth="1"/>
    <col min="15" max="15" width="15.5703125" bestFit="1" customWidth="1"/>
  </cols>
  <sheetData>
    <row r="1" spans="1:10" x14ac:dyDescent="0.25">
      <c r="G1" s="7" t="s">
        <v>7</v>
      </c>
      <c r="H1" t="s">
        <v>34</v>
      </c>
    </row>
    <row r="3" spans="1:10" x14ac:dyDescent="0.25">
      <c r="A3" s="7" t="s">
        <v>11</v>
      </c>
      <c r="B3" t="s">
        <v>16</v>
      </c>
      <c r="G3" s="7" t="s">
        <v>11</v>
      </c>
      <c r="H3" t="s">
        <v>22</v>
      </c>
    </row>
    <row r="4" spans="1:10" x14ac:dyDescent="0.25">
      <c r="A4" s="8" t="s">
        <v>12</v>
      </c>
      <c r="B4" s="2">
        <v>9260000</v>
      </c>
      <c r="G4" s="8" t="s">
        <v>17</v>
      </c>
      <c r="H4" s="4">
        <v>17</v>
      </c>
      <c r="J4">
        <v>0</v>
      </c>
    </row>
    <row r="5" spans="1:10" x14ac:dyDescent="0.25">
      <c r="A5" s="8" t="s">
        <v>13</v>
      </c>
      <c r="B5" s="2">
        <v>7095000</v>
      </c>
      <c r="G5" s="8" t="s">
        <v>18</v>
      </c>
      <c r="H5" s="4">
        <v>39</v>
      </c>
    </row>
    <row r="6" spans="1:10" x14ac:dyDescent="0.25">
      <c r="A6" s="8" t="s">
        <v>14</v>
      </c>
      <c r="B6" s="2">
        <v>5151000</v>
      </c>
      <c r="G6" s="8" t="s">
        <v>19</v>
      </c>
      <c r="H6" s="4">
        <v>20</v>
      </c>
    </row>
    <row r="7" spans="1:10" x14ac:dyDescent="0.25">
      <c r="A7" s="8" t="s">
        <v>15</v>
      </c>
      <c r="B7" s="2">
        <v>21506000</v>
      </c>
      <c r="G7" s="8" t="s">
        <v>20</v>
      </c>
      <c r="H7" s="4">
        <v>31</v>
      </c>
    </row>
    <row r="8" spans="1:10" x14ac:dyDescent="0.25">
      <c r="G8" s="8" t="s">
        <v>21</v>
      </c>
      <c r="H8" s="4">
        <v>26</v>
      </c>
    </row>
    <row r="9" spans="1:10" x14ac:dyDescent="0.25">
      <c r="G9" s="8" t="s">
        <v>15</v>
      </c>
      <c r="H9" s="4">
        <v>133</v>
      </c>
    </row>
    <row r="12" spans="1:10" x14ac:dyDescent="0.25">
      <c r="A12" s="7" t="s">
        <v>6</v>
      </c>
      <c r="B12" t="s">
        <v>13</v>
      </c>
      <c r="G12" s="7" t="s">
        <v>10</v>
      </c>
      <c r="H12" s="8">
        <v>24</v>
      </c>
    </row>
    <row r="14" spans="1:10" x14ac:dyDescent="0.25">
      <c r="A14" s="7" t="s">
        <v>11</v>
      </c>
      <c r="B14" t="s">
        <v>16</v>
      </c>
      <c r="G14" s="7" t="s">
        <v>11</v>
      </c>
      <c r="H14" t="s">
        <v>16</v>
      </c>
    </row>
    <row r="15" spans="1:10" x14ac:dyDescent="0.25">
      <c r="A15" s="8" t="s">
        <v>23</v>
      </c>
      <c r="B15" s="2">
        <v>1789000</v>
      </c>
      <c r="G15" s="8" t="s">
        <v>28</v>
      </c>
      <c r="H15" s="2">
        <v>314000</v>
      </c>
    </row>
    <row r="16" spans="1:10" x14ac:dyDescent="0.25">
      <c r="A16" s="8" t="s">
        <v>24</v>
      </c>
      <c r="B16" s="2">
        <v>870000</v>
      </c>
      <c r="G16" s="8" t="s">
        <v>29</v>
      </c>
      <c r="H16" s="2">
        <v>857000</v>
      </c>
    </row>
    <row r="17" spans="1:8" x14ac:dyDescent="0.25">
      <c r="A17" s="8" t="s">
        <v>25</v>
      </c>
      <c r="B17" s="2">
        <v>1192000</v>
      </c>
      <c r="G17" s="8" t="s">
        <v>30</v>
      </c>
      <c r="H17" s="2">
        <v>210000</v>
      </c>
    </row>
    <row r="18" spans="1:8" x14ac:dyDescent="0.25">
      <c r="A18" s="8" t="s">
        <v>26</v>
      </c>
      <c r="B18" s="2">
        <v>1526000</v>
      </c>
      <c r="G18" s="8" t="s">
        <v>31</v>
      </c>
      <c r="H18" s="2">
        <v>420000</v>
      </c>
    </row>
    <row r="19" spans="1:8" x14ac:dyDescent="0.25">
      <c r="A19" s="8" t="s">
        <v>27</v>
      </c>
      <c r="B19" s="2">
        <v>1718000</v>
      </c>
      <c r="G19" s="8" t="s">
        <v>32</v>
      </c>
      <c r="H19" s="2">
        <v>505000</v>
      </c>
    </row>
    <row r="20" spans="1:8" x14ac:dyDescent="0.25">
      <c r="A20" s="8" t="s">
        <v>15</v>
      </c>
      <c r="B20" s="2">
        <v>7095000</v>
      </c>
      <c r="G20" s="8" t="s">
        <v>15</v>
      </c>
      <c r="H20" s="2">
        <v>2306000</v>
      </c>
    </row>
    <row r="24" spans="1:8" x14ac:dyDescent="0.25">
      <c r="C24" s="7" t="s">
        <v>7</v>
      </c>
      <c r="D24" t="s">
        <v>33</v>
      </c>
    </row>
    <row r="26" spans="1:8" x14ac:dyDescent="0.25">
      <c r="C26" t="s">
        <v>22</v>
      </c>
      <c r="D26" t="s">
        <v>16</v>
      </c>
    </row>
    <row r="27" spans="1:8" x14ac:dyDescent="0.25">
      <c r="C27" s="4">
        <v>37</v>
      </c>
      <c r="D27" s="2">
        <v>2499000</v>
      </c>
    </row>
    <row r="32" spans="1:8" x14ac:dyDescent="0.25">
      <c r="E32" s="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ECFEF-9428-4353-A412-7359C259B37A}">
  <dimension ref="A1"/>
  <sheetViews>
    <sheetView showRowColHeaders="0"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Analise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Santos</dc:creator>
  <cp:lastModifiedBy>Victor Santos</cp:lastModifiedBy>
  <dcterms:created xsi:type="dcterms:W3CDTF">2026-08-20T22:11:43Z</dcterms:created>
  <dcterms:modified xsi:type="dcterms:W3CDTF">2026-08-22T02:32:27Z</dcterms:modified>
</cp:coreProperties>
</file>